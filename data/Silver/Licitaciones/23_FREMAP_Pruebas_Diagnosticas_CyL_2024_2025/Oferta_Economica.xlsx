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K:\SGGESTION_ficheros compartidos\CONCURSOS PUBLICOS\PRUEBAS DIAGNOSTICAS\CASTILLA Y LEON\1 Pliegos ficha\"/>
    </mc:Choice>
  </mc:AlternateContent>
  <xr:revisionPtr revIDLastSave="0" documentId="13_ncr:1_{46208C07-B824-4CE0-B716-EA3392441796}" xr6:coauthVersionLast="47" xr6:coauthVersionMax="47" xr10:uidLastSave="{00000000-0000-0000-0000-000000000000}"/>
  <workbookProtection workbookAlgorithmName="SHA-512" workbookHashValue="XybGTPzcCLYPavqlSGWmKjt1r2Altc05EJuv6FeiAXQ/8wVvqJVJyO+TUxJtHfVnQfkLPVmNeFC/YPgpS4H71w==" workbookSaltValue="hqZ8i9wp6pkUgm/CSZH50A==" workbookSpinCount="100000" lockStructure="1"/>
  <bookViews>
    <workbookView xWindow="-120" yWindow="-120" windowWidth="29040" windowHeight="15720" activeTab="3" xr2:uid="{00000000-000D-0000-FFFF-FFFF00000000}"/>
  </bookViews>
  <sheets>
    <sheet name="LOTES (TAC Y ECO)" sheetId="1" r:id="rId1"/>
    <sheet name="LOTE (TAC)" sheetId="15" r:id="rId2"/>
    <sheet name="LOTE (ECO)" sheetId="16" r:id="rId3"/>
    <sheet name="LOTES  (EMG)" sheetId="14" r:id="rId4"/>
    <sheet name="Criterios" sheetId="3" state="hidden" r:id="rId5"/>
  </sheets>
  <definedNames>
    <definedName name="_xlnm.Print_Area" localSheetId="0">'LOTES (TAC Y ECO)'!$A$1:$E$84</definedName>
    <definedName name="LoteElectro">Criterios!$B$26:$B$27</definedName>
    <definedName name="LoteTACEco">Criterios!$B$22:$B$24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B79" i="14"/>
  <c r="B78" i="14"/>
  <c r="B77" i="14"/>
  <c r="B76" i="14"/>
  <c r="D76" i="14" s="1"/>
  <c r="G76" i="14" s="1"/>
  <c r="B75" i="14"/>
  <c r="D75" i="14" s="1"/>
  <c r="G75" i="14" s="1"/>
  <c r="B72" i="14"/>
  <c r="B71" i="16"/>
  <c r="G52" i="14"/>
  <c r="G53" i="14"/>
  <c r="G54" i="14"/>
  <c r="G50" i="14"/>
  <c r="G39" i="14"/>
  <c r="B79" i="16"/>
  <c r="B78" i="16"/>
  <c r="B77" i="16"/>
  <c r="B74" i="16"/>
  <c r="D74" i="16" s="1"/>
  <c r="G74" i="16" s="1"/>
  <c r="B75" i="16"/>
  <c r="G55" i="16"/>
  <c r="G54" i="16"/>
  <c r="G51" i="16"/>
  <c r="G49" i="16"/>
  <c r="B72" i="16"/>
  <c r="B70" i="15"/>
  <c r="G54" i="15"/>
  <c r="G48" i="15"/>
  <c r="B79" i="15"/>
  <c r="B78" i="15"/>
  <c r="B77" i="15"/>
  <c r="D79" i="15"/>
  <c r="G79" i="15" s="1"/>
  <c r="D78" i="15"/>
  <c r="G78" i="15" s="1"/>
  <c r="D77" i="15"/>
  <c r="G77" i="15" s="1"/>
  <c r="G76" i="15"/>
  <c r="D76" i="15"/>
  <c r="B76" i="15"/>
  <c r="G75" i="15"/>
  <c r="D75" i="15"/>
  <c r="B75" i="15"/>
  <c r="G74" i="15"/>
  <c r="D74" i="15"/>
  <c r="B74" i="15"/>
  <c r="D72" i="15"/>
  <c r="G72" i="15" s="1"/>
  <c r="B72" i="15"/>
  <c r="D71" i="15"/>
  <c r="G71" i="15" s="1"/>
  <c r="B71" i="15"/>
  <c r="D70" i="15"/>
  <c r="G70" i="15" s="1"/>
  <c r="G66" i="15"/>
  <c r="G65" i="15"/>
  <c r="G64" i="15"/>
  <c r="G63" i="15"/>
  <c r="G55" i="15"/>
  <c r="G51" i="15"/>
  <c r="G49" i="15"/>
  <c r="G39" i="15"/>
  <c r="G38" i="15"/>
  <c r="D16" i="15"/>
  <c r="A12" i="15"/>
  <c r="B4" i="15"/>
  <c r="G63" i="1"/>
  <c r="G55" i="1"/>
  <c r="G54" i="1"/>
  <c r="G48" i="1"/>
  <c r="D79" i="14"/>
  <c r="G79" i="14" s="1"/>
  <c r="D78" i="14"/>
  <c r="G78" i="14" s="1"/>
  <c r="D77" i="14"/>
  <c r="G77" i="14" s="1"/>
  <c r="D74" i="14"/>
  <c r="G74" i="14" s="1"/>
  <c r="B74" i="14"/>
  <c r="D72" i="14"/>
  <c r="G72" i="14" s="1"/>
  <c r="D71" i="14"/>
  <c r="G71" i="14" s="1"/>
  <c r="B71" i="14"/>
  <c r="D70" i="14"/>
  <c r="G70" i="14" s="1"/>
  <c r="B70" i="14"/>
  <c r="G66" i="14"/>
  <c r="G65" i="14"/>
  <c r="G64" i="14"/>
  <c r="G63" i="14"/>
  <c r="G55" i="14"/>
  <c r="G51" i="14"/>
  <c r="G49" i="14"/>
  <c r="G48" i="14"/>
  <c r="G38" i="14"/>
  <c r="D16" i="14"/>
  <c r="A12" i="14"/>
  <c r="B4" i="14"/>
  <c r="D79" i="16"/>
  <c r="G79" i="16" s="1"/>
  <c r="D78" i="16"/>
  <c r="G78" i="16" s="1"/>
  <c r="D77" i="16"/>
  <c r="G77" i="16" s="1"/>
  <c r="G76" i="16"/>
  <c r="D76" i="16"/>
  <c r="B76" i="16"/>
  <c r="G75" i="16"/>
  <c r="D75" i="16"/>
  <c r="D72" i="16"/>
  <c r="G72" i="16" s="1"/>
  <c r="D71" i="16"/>
  <c r="G71" i="16" s="1"/>
  <c r="D70" i="16"/>
  <c r="G70" i="16" s="1"/>
  <c r="B70" i="16"/>
  <c r="G66" i="16"/>
  <c r="G65" i="16"/>
  <c r="G64" i="16"/>
  <c r="G63" i="16"/>
  <c r="G48" i="16"/>
  <c r="G39" i="16"/>
  <c r="G38" i="16"/>
  <c r="D16" i="16"/>
  <c r="A12" i="16"/>
  <c r="B4" i="16"/>
  <c r="B79" i="1"/>
  <c r="B78" i="1"/>
  <c r="B77" i="1"/>
  <c r="B76" i="1"/>
  <c r="B75" i="1"/>
  <c r="B72" i="1"/>
  <c r="B71" i="1"/>
  <c r="B74" i="1"/>
  <c r="B70" i="1"/>
  <c r="D16" i="1"/>
  <c r="B4" i="1"/>
  <c r="G80" i="15" l="1"/>
  <c r="G80" i="14"/>
  <c r="G80" i="16"/>
  <c r="D76" i="1" l="1"/>
  <c r="D75" i="1"/>
  <c r="D71" i="1" l="1"/>
  <c r="D74" i="1"/>
  <c r="G74" i="1" s="1"/>
  <c r="G65" i="1"/>
  <c r="G64" i="1"/>
  <c r="D72" i="1"/>
  <c r="G72" i="1" s="1"/>
  <c r="D78" i="1" l="1"/>
  <c r="G78" i="1" s="1"/>
  <c r="D77" i="1"/>
  <c r="G77" i="1" s="1"/>
  <c r="D79" i="1" l="1"/>
  <c r="G79" i="1" s="1"/>
  <c r="D70" i="1"/>
  <c r="G70" i="1" s="1"/>
  <c r="A12" i="1" l="1"/>
  <c r="G66" i="1" l="1"/>
  <c r="G49" i="1"/>
  <c r="G51" i="1"/>
  <c r="G76" i="1"/>
  <c r="G75" i="1"/>
  <c r="G71" i="1" l="1"/>
  <c r="G80" i="1" s="1"/>
</calcChain>
</file>

<file path=xl/sharedStrings.xml><?xml version="1.0" encoding="utf-8"?>
<sst xmlns="http://schemas.openxmlformats.org/spreadsheetml/2006/main" count="619" uniqueCount="218">
  <si>
    <t>CIF</t>
  </si>
  <si>
    <t>Localidad</t>
  </si>
  <si>
    <t>Importes máximos de licitación</t>
  </si>
  <si>
    <t>Puntuación máxima</t>
  </si>
  <si>
    <t>% de descuento ofertado</t>
  </si>
  <si>
    <t>Importes ofertados</t>
  </si>
  <si>
    <t>Puntuación obtenida</t>
  </si>
  <si>
    <t>Criterio</t>
  </si>
  <si>
    <t>puntos</t>
  </si>
  <si>
    <t>Si</t>
  </si>
  <si>
    <t>No</t>
  </si>
  <si>
    <t>Centros adicionales</t>
  </si>
  <si>
    <t>SMS</t>
  </si>
  <si>
    <t>1 hora diaria adicional</t>
  </si>
  <si>
    <t>2 horas diarias adicionales</t>
  </si>
  <si>
    <t>Teleconsulta</t>
  </si>
  <si>
    <t>Tomografía Axial Computarizada (TAC)</t>
  </si>
  <si>
    <t>Nº habitaciones</t>
  </si>
  <si>
    <t>De 1 a 2 habitaciones adicionales</t>
  </si>
  <si>
    <t>De 3 a 4 habitaciones adicionales</t>
  </si>
  <si>
    <t>Más de 4 habitaciones adicionales</t>
  </si>
  <si>
    <t>Nº quirófanos</t>
  </si>
  <si>
    <t>1 quirófano adicional</t>
  </si>
  <si>
    <t>2 o más quirófanos adicionales</t>
  </si>
  <si>
    <t>Salas Rhb</t>
  </si>
  <si>
    <t>1 sala adicional</t>
  </si>
  <si>
    <t>2 salas adicionales</t>
  </si>
  <si>
    <t>3 o más salas adicionales</t>
  </si>
  <si>
    <t>Ecodoppler</t>
  </si>
  <si>
    <t>RM/TAC</t>
  </si>
  <si>
    <t>Unidades asistenciales</t>
  </si>
  <si>
    <t>3 o más horas diarias adicionales</t>
  </si>
  <si>
    <t>Plataforma</t>
  </si>
  <si>
    <t>Lote</t>
  </si>
  <si>
    <t>Nombre</t>
  </si>
  <si>
    <t>Número lote</t>
  </si>
  <si>
    <t>Lote: Localidad (Provincia) - Pruebas diagnósticas</t>
  </si>
  <si>
    <t>Ecografía</t>
  </si>
  <si>
    <t>Ecografía doppler</t>
  </si>
  <si>
    <t>TAC</t>
  </si>
  <si>
    <t>ECO</t>
  </si>
  <si>
    <t>Radiología simple sin informar</t>
  </si>
  <si>
    <t>Radiología simple informada</t>
  </si>
  <si>
    <t>Horario consulta ECO</t>
  </si>
  <si>
    <t>Horario consulta TAC y ECO</t>
  </si>
  <si>
    <t>Gammagrafía</t>
  </si>
  <si>
    <t>Servicios OBLIGATORIOS</t>
  </si>
  <si>
    <t>Servicios VALORABLES</t>
  </si>
  <si>
    <t>Potenciales evocados (auditivos, visuales y somatosensoriales de MMSS o MMII)</t>
  </si>
  <si>
    <t>Electroneurograma por extremidad</t>
  </si>
  <si>
    <t>Reducción tiempos</t>
  </si>
  <si>
    <t>Reducción en 24 horas</t>
  </si>
  <si>
    <t>Reducción en 48 horas</t>
  </si>
  <si>
    <t>Razón social</t>
  </si>
  <si>
    <t>Nombre del centro asistencial</t>
  </si>
  <si>
    <t>Dirección asistencial</t>
  </si>
  <si>
    <t>Provincia</t>
  </si>
  <si>
    <t>Teléfono</t>
  </si>
  <si>
    <t>Horario de citación</t>
  </si>
  <si>
    <t>Horario de realización de pruebas</t>
  </si>
  <si>
    <t>Fax</t>
  </si>
  <si>
    <t>Domicilio social</t>
  </si>
  <si>
    <t>Datos del centro</t>
  </si>
  <si>
    <t>Correo electrónico a efectos de notificaciones</t>
  </si>
  <si>
    <t>Página web</t>
  </si>
  <si>
    <t>Zona de recepción/admisión y sala de espera</t>
  </si>
  <si>
    <t>Área asistencial de pruebas diagnósticas</t>
  </si>
  <si>
    <t>Aseos/vestuarios para pacientes</t>
  </si>
  <si>
    <t>Tomografía axial computarizada (TAC)</t>
  </si>
  <si>
    <t>Disponibilidad</t>
  </si>
  <si>
    <t>Marca y modelo</t>
  </si>
  <si>
    <t>Tomografía axial computarizada (TAC) - ADICIONAL</t>
  </si>
  <si>
    <t>Ecógrafo</t>
  </si>
  <si>
    <t>Ecógrafo - ADICIONAL</t>
  </si>
  <si>
    <t>Sonda Eco doppler</t>
  </si>
  <si>
    <t>Gammacámara</t>
  </si>
  <si>
    <t xml:space="preserve">Equipo de radiología </t>
  </si>
  <si>
    <t>Convencional</t>
  </si>
  <si>
    <t>Digital</t>
  </si>
  <si>
    <t>16 cortes</t>
  </si>
  <si>
    <t>superior a 16 cortes</t>
  </si>
  <si>
    <t>10 Megahercios</t>
  </si>
  <si>
    <t>superior a 10 Megahercios</t>
  </si>
  <si>
    <t>Nombre y apellidos</t>
  </si>
  <si>
    <t>Personas de contacto (citación, incidencias, aspectos administrativos,…)</t>
  </si>
  <si>
    <t>Interlocutor médico</t>
  </si>
  <si>
    <t>Medicina General/de familia (U.1)</t>
  </si>
  <si>
    <t>Neurología (U.17)</t>
  </si>
  <si>
    <t>Neurofisiología (U.18)</t>
  </si>
  <si>
    <t>Medicina nuclear (U.87)</t>
  </si>
  <si>
    <t>Radiodiagnóstico (U.88)</t>
  </si>
  <si>
    <t>Representación de la empresa</t>
  </si>
  <si>
    <t>Nombre y apellidos del representante de la empresa</t>
  </si>
  <si>
    <t>DNI del representante de la empresa</t>
  </si>
  <si>
    <t>Instalaciones exigidas en la licitación</t>
  </si>
  <si>
    <t>Características específicas</t>
  </si>
  <si>
    <t>OBLIGATORIO</t>
  </si>
  <si>
    <t>EQUIPAMIENTO</t>
  </si>
  <si>
    <t>VALORABLE</t>
  </si>
  <si>
    <t>UNIDADES ASISTENCIALES</t>
  </si>
  <si>
    <t>Puntuación obt. Caract.</t>
  </si>
  <si>
    <t>Citación por SMS</t>
  </si>
  <si>
    <t>Ampliación del horario de prestación de servicio</t>
  </si>
  <si>
    <t>Punt. Mejora</t>
  </si>
  <si>
    <t>Reducción de tiempos en realización de TAC en 24 horas</t>
  </si>
  <si>
    <t>OFERTA ECONÓMICA</t>
  </si>
  <si>
    <t>Cód. provincia</t>
  </si>
  <si>
    <t>ALAVA</t>
  </si>
  <si>
    <t>ALBACETE</t>
  </si>
  <si>
    <t>ALICANTE</t>
  </si>
  <si>
    <t>ALMERIA</t>
  </si>
  <si>
    <t>AVILA</t>
  </si>
  <si>
    <t>BADAJOZ</t>
  </si>
  <si>
    <t>ILLES BALEARS</t>
  </si>
  <si>
    <t>BARCELONA</t>
  </si>
  <si>
    <t>BURGOS</t>
  </si>
  <si>
    <t>CACERES</t>
  </si>
  <si>
    <t>CADIZ</t>
  </si>
  <si>
    <t>CASTELLON</t>
  </si>
  <si>
    <t>CIUDAD REAL</t>
  </si>
  <si>
    <t>CORDOBA</t>
  </si>
  <si>
    <t>CORUÑA</t>
  </si>
  <si>
    <t>CUENCA</t>
  </si>
  <si>
    <t>GIRONA</t>
  </si>
  <si>
    <t>GRANADA</t>
  </si>
  <si>
    <t>GUADALAJARA</t>
  </si>
  <si>
    <t>GIPUZKOA</t>
  </si>
  <si>
    <t>HUELVA</t>
  </si>
  <si>
    <t>HUESCA</t>
  </si>
  <si>
    <t>JAEN</t>
  </si>
  <si>
    <t>LEON</t>
  </si>
  <si>
    <t>LLEIDA</t>
  </si>
  <si>
    <t>LA RIOJA</t>
  </si>
  <si>
    <t>LUGO</t>
  </si>
  <si>
    <t>MADRID</t>
  </si>
  <si>
    <t>MALAGA</t>
  </si>
  <si>
    <t>MURCIA</t>
  </si>
  <si>
    <t>NAVARRA</t>
  </si>
  <si>
    <t>OURENSE</t>
  </si>
  <si>
    <t>ASTURIAS</t>
  </si>
  <si>
    <t>PALENCIA</t>
  </si>
  <si>
    <t>LAS PALMAS</t>
  </si>
  <si>
    <t>PONTEVEDRA</t>
  </si>
  <si>
    <t>SALAMANCA</t>
  </si>
  <si>
    <t>S.C.DE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</si>
  <si>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</si>
  <si>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</si>
  <si>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</si>
  <si>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</si>
  <si>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</si>
  <si>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</si>
  <si>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</si>
  <si>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</si>
  <si>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</si>
  <si>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BIZKAIA</t>
  </si>
  <si>
    <t>ZAMORA</t>
  </si>
  <si>
    <t>ZARAGOZA</t>
  </si>
  <si>
    <t>MELILLA</t>
  </si>
  <si>
    <t>Redución de tiempos EMG</t>
  </si>
  <si>
    <t>Electromiógrafo - ADICIONAL</t>
  </si>
  <si>
    <t>Electroneurografia</t>
  </si>
  <si>
    <t>Potenciales evocados</t>
  </si>
  <si>
    <t>Servicios NO VALORABLES que se pueden ofertar</t>
  </si>
  <si>
    <t>Importe ofertado</t>
  </si>
  <si>
    <t>Precio del contraste TAC</t>
  </si>
  <si>
    <t>Precio del contraste Gammagrafía</t>
  </si>
  <si>
    <t>Precio de sedación</t>
  </si>
  <si>
    <t>MEJORAS EN LOS SERVICIOS OFERTADOS</t>
  </si>
  <si>
    <t>EMG</t>
  </si>
  <si>
    <t>Electromiógrafo</t>
  </si>
  <si>
    <t>Electromiograma</t>
  </si>
  <si>
    <t xml:space="preserve"> </t>
  </si>
  <si>
    <t>IMPORTES OFERTADOS: A cumplimentar para TODOS LOS SERVICIOS OFERTADOS, tanto obligatorios como valorables.
SERVICIOS OBLIGATORIOS: De no cumplimentarse, la OFERTA SERÁ EXCLUIDA. Corresponden a las casillas sobre fondo amarillo.
RESTO DE CAMPOS: De no cumplimentarse, no serán considerados en la valoración de la oferta. Hay campos desplegables que validan los datos introducidos, NO debe hacerse "copiar y pegar" de datos, ya que el formato de los datos debe validarse.</t>
  </si>
  <si>
    <t xml:space="preserve">Burgos - TAC </t>
  </si>
  <si>
    <t>Burgos - Ecografía</t>
  </si>
  <si>
    <t>Burgos - EMG</t>
  </si>
  <si>
    <t>León -- TAC y Ecografía</t>
  </si>
  <si>
    <t>León - EMG</t>
  </si>
  <si>
    <t>Ponferrada - TAC y Ecografía</t>
  </si>
  <si>
    <t>Ponferrada - EMG</t>
  </si>
  <si>
    <t>Salamanca</t>
  </si>
  <si>
    <t>Salamanca - TAC y Ecografía</t>
  </si>
  <si>
    <t>Salamanca - EMG</t>
  </si>
  <si>
    <t>Segovia - TAC y Ecografía</t>
  </si>
  <si>
    <t>Segovia - EMG</t>
  </si>
  <si>
    <t>Valladolid - TAC y Ecografía</t>
  </si>
  <si>
    <t>Valladolid - EMG</t>
  </si>
  <si>
    <t>Zamora - TAC y Ecografía</t>
  </si>
  <si>
    <t>Burgos</t>
  </si>
  <si>
    <t>León</t>
  </si>
  <si>
    <t>Léon</t>
  </si>
  <si>
    <t>Segovia</t>
  </si>
  <si>
    <t>Valladolid</t>
  </si>
  <si>
    <t>Zamora</t>
  </si>
  <si>
    <t>DOPPLER</t>
  </si>
  <si>
    <t>RX INFORMADA</t>
  </si>
  <si>
    <t>RX SIN INFORMAR</t>
  </si>
  <si>
    <t>GAMMA</t>
  </si>
  <si>
    <t>ENG</t>
  </si>
  <si>
    <t>P. EVOCADOS</t>
  </si>
  <si>
    <t>TAC (L4,6,8,10,12 Y 14)</t>
  </si>
  <si>
    <t>TAC (L1)</t>
  </si>
  <si>
    <t>ECO (L2)</t>
  </si>
  <si>
    <t>ECO (L4,6,8,10,12 Y 14)</t>
  </si>
  <si>
    <t>RX  (L4,6,8,10,12 Y 14)</t>
  </si>
  <si>
    <t>máx. 3</t>
  </si>
  <si>
    <t>RX (L1)</t>
  </si>
  <si>
    <t>SERVICIO DE PRUEBAS DIAGNÓSTICAS PARA FRATERNIDAD-MUPRESPA 
EN LA COMUNIDAD AUTÓNOMA DE CASTILLA Y LEÓN 
LOTES TAC Y ECOGRAFÍA</t>
  </si>
  <si>
    <t>SERVICIO DE PRUEBAS DIAGNÓSTICAS PARA FRATERNIDAD-MUPRESPA 
EN LA COMUNIDAD AUTÓNOMA DE CASTILLA Y LEÓN  
LOTES ELECTROMIOGRAFÍA</t>
  </si>
  <si>
    <t>RX  (L2)</t>
  </si>
  <si>
    <t>Máx. 3</t>
  </si>
  <si>
    <t>SERVICIO DE PRUEBAS DIAGNÓSTICAS PARA FRATERNIDAD-MUPRESPA 
EN LA COMUNIDAD AUTÓNOMA DE CASTILLA Y LEÓN  
LOTE ECOGRAFÍA</t>
  </si>
  <si>
    <t xml:space="preserve">SERVICIO DE PRUEBAS DIAGNÓSTICAS PARA FRATERNIDAD-MUPRESPA 
EN LA COMUNIDAD AUTÓNOMA DE CASTILLA Y LEÓN 
LOTE TAC </t>
  </si>
  <si>
    <t>RX  (L3,5,7,9,11 y 13)</t>
  </si>
  <si>
    <t>Máx. 5</t>
  </si>
  <si>
    <t>máx. 5</t>
  </si>
  <si>
    <t>ECO (resto lotes)</t>
  </si>
  <si>
    <t>TAC (resto lotes)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</si>
</sst>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.5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sz val="11.5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/>
    <xf numFmtId="0" fontId="1" fillId="0" borderId="0" xfId="0" applyFont="1" applyBorder="1"/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/>
    <xf numFmtId="8" fontId="5" fillId="2" borderId="1" xfId="0" applyNumberFormat="1" applyFont="1" applyFill="1" applyBorder="1" applyAlignment="1">
      <alignment horizontal="center" vertical="center" wrapText="1"/>
    </xf>
    <xf numFmtId="8" fontId="5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6" fillId="0" borderId="0" xfId="0" applyFont="1"/>
    <xf numFmtId="0" fontId="0" fillId="0" borderId="1" xfId="0" applyBorder="1" applyAlignment="1"/>
    <xf numFmtId="0" fontId="0" fillId="0" borderId="0" xfId="0" applyBorder="1"/>
    <xf numFmtId="0" fontId="2" fillId="3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justify" vertical="center" wrapText="1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 applyProtection="1">
      <alignment horizontal="center" vertical="center" wrapText="1"/>
    </xf>
    <xf numFmtId="10" fontId="4" fillId="0" borderId="1" xfId="0" applyNumberFormat="1" applyFont="1" applyBorder="1" applyAlignment="1" applyProtection="1">
      <alignment horizontal="center" vertical="center"/>
    </xf>
    <xf numFmtId="0" fontId="0" fillId="0" borderId="0" xfId="0" applyFont="1"/>
    <xf numFmtId="8" fontId="3" fillId="0" borderId="1" xfId="0" applyNumberFormat="1" applyFont="1" applyBorder="1" applyAlignment="1" applyProtection="1">
      <alignment horizontal="right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8" fontId="3" fillId="0" borderId="1" xfId="0" applyNumberFormat="1" applyFont="1" applyBorder="1" applyAlignment="1" applyProtection="1">
      <alignment vertical="top" wrapText="1"/>
      <protection locked="0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 applyProtection="1">
      <alignment horizontal="left"/>
      <protection locked="0"/>
    </xf>
    <xf numFmtId="0" fontId="2" fillId="3" borderId="1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0" fillId="0" borderId="0" xfId="0" applyBorder="1" applyAlignment="1" applyProtection="1">
      <alignment horizontal="left"/>
      <protection locked="0"/>
    </xf>
    <xf numFmtId="0" fontId="2" fillId="3" borderId="13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 applyProtection="1">
      <alignment horizontal="left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 wrapText="1"/>
    </xf>
    <xf numFmtId="0" fontId="0" fillId="2" borderId="0" xfId="0" applyFont="1" applyFill="1" applyBorder="1" applyAlignment="1">
      <alignment wrapText="1"/>
    </xf>
    <xf numFmtId="0" fontId="10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Fill="1" applyBorder="1" applyAlignment="1" applyProtection="1">
      <alignment vertical="center" wrapText="1"/>
      <protection locked="0"/>
    </xf>
    <xf numFmtId="0" fontId="10" fillId="0" borderId="12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justify" vertical="center" wrapText="1"/>
    </xf>
    <xf numFmtId="0" fontId="0" fillId="0" borderId="0" xfId="0" applyProtection="1"/>
    <xf numFmtId="0" fontId="3" fillId="0" borderId="1" xfId="0" applyFont="1" applyFill="1" applyBorder="1" applyAlignment="1">
      <alignment vertical="top" wrapText="1"/>
    </xf>
    <xf numFmtId="8" fontId="3" fillId="0" borderId="1" xfId="0" applyNumberFormat="1" applyFont="1" applyFill="1" applyBorder="1" applyAlignment="1" applyProtection="1">
      <alignment horizontal="right" vertical="top" wrapText="1"/>
      <protection locked="0"/>
    </xf>
    <xf numFmtId="10" fontId="4" fillId="0" borderId="1" xfId="0" applyNumberFormat="1" applyFont="1" applyFill="1" applyBorder="1" applyAlignment="1" applyProtection="1">
      <alignment horizontal="center" vertical="center"/>
    </xf>
    <xf numFmtId="0" fontId="2" fillId="5" borderId="3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vertical="top" wrapText="1"/>
    </xf>
    <xf numFmtId="0" fontId="0" fillId="0" borderId="1" xfId="0" applyBorder="1" applyAlignment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2" fillId="3" borderId="1" xfId="0" applyFont="1" applyFill="1" applyBorder="1" applyAlignment="1">
      <alignment horizontal="justify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justify" vertical="center" wrapText="1"/>
    </xf>
    <xf numFmtId="0" fontId="2" fillId="6" borderId="3" xfId="0" applyFont="1" applyFill="1" applyBorder="1" applyAlignment="1">
      <alignment horizontal="justify" vertical="center" wrapText="1"/>
    </xf>
    <xf numFmtId="0" fontId="2" fillId="6" borderId="1" xfId="0" applyFont="1" applyFill="1" applyBorder="1" applyAlignment="1">
      <alignment vertical="center"/>
    </xf>
    <xf numFmtId="0" fontId="2" fillId="6" borderId="11" xfId="0" applyFont="1" applyFill="1" applyBorder="1" applyAlignment="1">
      <alignment horizontal="justify" vertical="center" wrapText="1"/>
    </xf>
    <xf numFmtId="0" fontId="2" fillId="6" borderId="7" xfId="0" applyFont="1" applyFill="1" applyBorder="1" applyAlignment="1">
      <alignment horizontal="justify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0" fillId="0" borderId="6" xfId="0" applyBorder="1" applyAlignment="1" applyProtection="1">
      <protection locked="0"/>
    </xf>
    <xf numFmtId="0" fontId="0" fillId="0" borderId="0" xfId="0" applyBorder="1" applyAlignment="1" applyProtection="1"/>
    <xf numFmtId="8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8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0" xfId="0" applyBorder="1" applyAlignment="1" applyProtection="1">
      <alignment horizontal="left" wrapText="1"/>
      <protection locked="0"/>
    </xf>
    <xf numFmtId="0" fontId="10" fillId="0" borderId="1" xfId="0" applyFont="1" applyFill="1" applyBorder="1" applyAlignment="1" applyProtection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0" fillId="0" borderId="1" xfId="0" applyBorder="1" applyAlignment="1" applyProtection="1">
      <alignment horizontal="left"/>
      <protection locked="0"/>
    </xf>
    <xf numFmtId="0" fontId="2" fillId="5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Border="1"/>
    <xf numFmtId="0" fontId="0" fillId="0" borderId="1" xfId="0" applyBorder="1" applyAlignment="1" applyProtection="1">
      <alignment horizontal="left"/>
      <protection locked="0"/>
    </xf>
    <xf numFmtId="0" fontId="2" fillId="3" borderId="1" xfId="0" applyFont="1" applyFill="1" applyBorder="1" applyAlignment="1">
      <alignment vertical="center" wrapText="1"/>
    </xf>
    <xf numFmtId="0" fontId="0" fillId="0" borderId="6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7" borderId="1" xfId="0" applyFill="1" applyBorder="1" applyAlignment="1">
      <alignment horizontal="center"/>
    </xf>
    <xf numFmtId="10" fontId="5" fillId="0" borderId="1" xfId="0" applyNumberFormat="1" applyFont="1" applyBorder="1" applyAlignment="1" applyProtection="1">
      <alignment horizontal="center" vertical="center"/>
    </xf>
    <xf numFmtId="0" fontId="0" fillId="0" borderId="1" xfId="0" applyFill="1" applyBorder="1"/>
    <xf numFmtId="0" fontId="0" fillId="0" borderId="1" xfId="0" applyBorder="1" applyAlignment="1" applyProtection="1">
      <protection locked="0"/>
    </xf>
    <xf numFmtId="0" fontId="2" fillId="3" borderId="1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left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0" fillId="8" borderId="1" xfId="0" applyFill="1" applyBorder="1" applyAlignment="1"/>
    <xf numFmtId="0" fontId="1" fillId="8" borderId="1" xfId="0" applyFont="1" applyFill="1" applyBorder="1"/>
    <xf numFmtId="0" fontId="0" fillId="0" borderId="0" xfId="0" applyFill="1" applyBorder="1"/>
    <xf numFmtId="8" fontId="3" fillId="0" borderId="1" xfId="0" applyNumberFormat="1" applyFont="1" applyBorder="1" applyAlignment="1" applyProtection="1">
      <alignment vertical="center" wrapText="1"/>
      <protection locked="0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0" fillId="0" borderId="1" xfId="0" applyBorder="1" applyAlignment="1" applyProtection="1">
      <protection locked="0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 wrapText="1"/>
    </xf>
    <xf numFmtId="0" fontId="0" fillId="0" borderId="3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11" fillId="0" borderId="3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/>
    <xf numFmtId="0" fontId="12" fillId="7" borderId="3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 wrapText="1"/>
    </xf>
    <xf numFmtId="0" fontId="9" fillId="8" borderId="5" xfId="0" applyFont="1" applyFill="1" applyBorder="1" applyAlignment="1">
      <alignment horizontal="center" wrapText="1"/>
    </xf>
  </cellXfs>
  <cellStyles count="1">
    <cellStyle name="Normal" xfId="0" builtinId="0"/>
  </cellStyles>
  <dxfs count="3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6DD"/>
      <color rgb="FFFFF9E7"/>
      <color rgb="FFFFFCF3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>
    <pageSetUpPr fitToPage="1"/>
  </sheetPr>
  <dimension ref="A1:G83"/>
  <sheetViews>
    <sheetView zoomScaleNormal="100" workbookViewId="0">
      <pane ySplit="1" topLeftCell="A2" activePane="bottomLeft" state="frozen"/>
      <selection activeCell="A2" sqref="A2:D2"/>
      <selection pane="bottomLeft" activeCell="K10" sqref="K10"/>
    </sheetView>
  </sheetViews>
  <sheetFormatPr baseColWidth="10" defaultRowHeight="15" x14ac:dyDescent="0.25"/>
  <cols>
    <col min="1" max="1" width="51.7109375" customWidth="1"/>
    <col min="2" max="2" width="18.7109375" customWidth="1"/>
    <col min="3" max="3" width="19.85546875" bestFit="1" customWidth="1"/>
    <col min="4" max="4" width="27.7109375" bestFit="1" customWidth="1"/>
    <col min="5" max="5" width="10.28515625" customWidth="1"/>
    <col min="6" max="6" width="17.85546875" hidden="1" customWidth="1"/>
    <col min="7" max="7" width="18.140625" hidden="1" customWidth="1"/>
    <col min="8" max="8" width="11.42578125" customWidth="1"/>
  </cols>
  <sheetData>
    <row r="1" spans="1:4" ht="75.75" customHeight="1" x14ac:dyDescent="0.25">
      <c r="A1" s="142" t="s">
        <v>207</v>
      </c>
      <c r="B1" s="143"/>
      <c r="C1" s="143"/>
      <c r="D1" s="144"/>
    </row>
    <row r="2" spans="1:4" s="22" customFormat="1" ht="53.25" customHeight="1" x14ac:dyDescent="0.25">
      <c r="A2" s="140" t="s">
        <v>172</v>
      </c>
      <c r="B2" s="141"/>
      <c r="C2" s="141"/>
      <c r="D2" s="141"/>
    </row>
    <row r="3" spans="1:4" s="22" customFormat="1" ht="15" customHeight="1" x14ac:dyDescent="0.25">
      <c r="A3" s="18" t="s">
        <v>35</v>
      </c>
      <c r="B3" s="138"/>
      <c r="C3" s="138"/>
      <c r="D3" s="138"/>
    </row>
    <row r="4" spans="1:4" s="22" customFormat="1" ht="15" customHeight="1" x14ac:dyDescent="0.25">
      <c r="A4" s="18" t="s">
        <v>36</v>
      </c>
      <c r="B4" s="139" t="str">
        <f>IFERROR(VLOOKUP(B3,Criterios!B22:N35,2,FALSE),"")</f>
        <v/>
      </c>
      <c r="C4" s="139"/>
      <c r="D4" s="139"/>
    </row>
    <row r="5" spans="1:4" s="22" customFormat="1" ht="15" customHeight="1" x14ac:dyDescent="0.25">
      <c r="A5" s="18" t="s">
        <v>53</v>
      </c>
      <c r="B5" s="111"/>
      <c r="C5" s="111"/>
      <c r="D5" s="111"/>
    </row>
    <row r="6" spans="1:4" s="22" customFormat="1" ht="15" customHeight="1" x14ac:dyDescent="0.25">
      <c r="A6" s="18" t="s">
        <v>0</v>
      </c>
      <c r="B6" s="111"/>
      <c r="C6" s="111"/>
      <c r="D6" s="111"/>
    </row>
    <row r="7" spans="1:4" s="22" customFormat="1" ht="15" customHeight="1" x14ac:dyDescent="0.25">
      <c r="A7" s="18" t="s">
        <v>61</v>
      </c>
      <c r="B7" s="111"/>
      <c r="C7" s="111"/>
      <c r="D7" s="111"/>
    </row>
    <row r="8" spans="1:4" s="22" customFormat="1" ht="15" customHeight="1" x14ac:dyDescent="0.25">
      <c r="A8" s="18" t="s">
        <v>1</v>
      </c>
      <c r="B8" s="52"/>
      <c r="C8" s="47" t="s">
        <v>56</v>
      </c>
      <c r="D8" s="53"/>
    </row>
    <row r="9" spans="1:4" s="22" customFormat="1" ht="15" customHeight="1" x14ac:dyDescent="0.25">
      <c r="A9" s="112" t="s">
        <v>91</v>
      </c>
      <c r="B9" s="112"/>
      <c r="C9" s="112"/>
      <c r="D9" s="112"/>
    </row>
    <row r="10" spans="1:4" s="22" customFormat="1" ht="15" customHeight="1" x14ac:dyDescent="0.25">
      <c r="A10" s="18" t="s">
        <v>92</v>
      </c>
      <c r="B10" s="121"/>
      <c r="C10" s="122"/>
      <c r="D10" s="123"/>
    </row>
    <row r="11" spans="1:4" s="22" customFormat="1" ht="15" customHeight="1" x14ac:dyDescent="0.25">
      <c r="A11" s="21" t="s">
        <v>93</v>
      </c>
      <c r="B11" s="124"/>
      <c r="C11" s="125"/>
      <c r="D11" s="126"/>
    </row>
    <row r="12" spans="1:4" s="22" customFormat="1" ht="48" customHeight="1" x14ac:dyDescent="0.25">
      <c r="A12" s="127" t="str">
        <f>IF(B11&lt;&gt;"",CONCATENATE("Don/Dña. ",B10, ", con DNI nº ",B11,", en nombre propio/en representación de la empresa ",B5,", con domicilio social en ",B7," y con CIF nº ",B6,", declara que adscribirá a la ejecución del servicio los siguientes centros y equipos:"),"")</f>
        <v/>
      </c>
      <c r="B12" s="128"/>
      <c r="C12" s="128"/>
      <c r="D12" s="129"/>
    </row>
    <row r="13" spans="1:4" s="22" customFormat="1" ht="15" customHeight="1" x14ac:dyDescent="0.25">
      <c r="A13" s="117" t="s">
        <v>62</v>
      </c>
      <c r="B13" s="118"/>
      <c r="C13" s="118"/>
      <c r="D13" s="119"/>
    </row>
    <row r="14" spans="1:4" s="22" customFormat="1" ht="15" customHeight="1" x14ac:dyDescent="0.25">
      <c r="A14" s="65" t="s">
        <v>54</v>
      </c>
      <c r="B14" s="121"/>
      <c r="C14" s="122"/>
      <c r="D14" s="123"/>
    </row>
    <row r="15" spans="1:4" s="22" customFormat="1" ht="15" customHeight="1" x14ac:dyDescent="0.25">
      <c r="A15" s="65" t="s">
        <v>55</v>
      </c>
      <c r="B15" s="121"/>
      <c r="C15" s="122"/>
      <c r="D15" s="123"/>
    </row>
    <row r="16" spans="1:4" s="22" customFormat="1" ht="15" customHeight="1" x14ac:dyDescent="0.25">
      <c r="A16" s="18" t="s">
        <v>1</v>
      </c>
      <c r="B16" s="54"/>
      <c r="C16" s="18" t="s">
        <v>56</v>
      </c>
      <c r="D16" s="82" t="str">
        <f>IFERROR(VLOOKUP(B3,Criterios!B22:N35,13,FALSE),"Elija nº de lote")</f>
        <v>Elija nº de lote</v>
      </c>
    </row>
    <row r="17" spans="1:7" s="22" customFormat="1" ht="15" customHeight="1" x14ac:dyDescent="0.25">
      <c r="A17" s="18" t="s">
        <v>57</v>
      </c>
      <c r="B17" s="53"/>
      <c r="C17" s="18" t="s">
        <v>60</v>
      </c>
      <c r="D17" s="53"/>
    </row>
    <row r="18" spans="1:7" s="22" customFormat="1" ht="15" customHeight="1" x14ac:dyDescent="0.25">
      <c r="A18" s="18" t="s">
        <v>58</v>
      </c>
      <c r="B18" s="111"/>
      <c r="C18" s="111"/>
      <c r="D18" s="111"/>
    </row>
    <row r="19" spans="1:7" s="22" customFormat="1" ht="15" customHeight="1" x14ac:dyDescent="0.25">
      <c r="A19" s="18" t="s">
        <v>59</v>
      </c>
      <c r="B19" s="111"/>
      <c r="C19" s="111"/>
      <c r="D19" s="111"/>
      <c r="F19" s="48"/>
      <c r="G19" s="48"/>
    </row>
    <row r="20" spans="1:7" s="22" customFormat="1" ht="15" customHeight="1" x14ac:dyDescent="0.25">
      <c r="A20" s="18" t="s">
        <v>63</v>
      </c>
      <c r="B20" s="111"/>
      <c r="C20" s="111"/>
      <c r="D20" s="111"/>
    </row>
    <row r="21" spans="1:7" s="22" customFormat="1" ht="15" customHeight="1" x14ac:dyDescent="0.25">
      <c r="A21" s="18" t="s">
        <v>64</v>
      </c>
      <c r="B21" s="111"/>
      <c r="C21" s="111"/>
      <c r="D21" s="111"/>
    </row>
    <row r="22" spans="1:7" s="22" customFormat="1" ht="17.45" customHeight="1" x14ac:dyDescent="0.25">
      <c r="A22" s="113" t="s">
        <v>84</v>
      </c>
      <c r="B22" s="114"/>
      <c r="C22" s="114"/>
      <c r="D22" s="120"/>
    </row>
    <row r="23" spans="1:7" s="22" customFormat="1" ht="15" customHeight="1" x14ac:dyDescent="0.25">
      <c r="A23" s="18" t="s">
        <v>83</v>
      </c>
      <c r="B23" s="111"/>
      <c r="C23" s="111"/>
      <c r="D23" s="111"/>
    </row>
    <row r="24" spans="1:7" s="22" customFormat="1" ht="15" customHeight="1" x14ac:dyDescent="0.25">
      <c r="A24" s="18" t="s">
        <v>63</v>
      </c>
      <c r="B24" s="111"/>
      <c r="C24" s="111"/>
      <c r="D24" s="111"/>
    </row>
    <row r="25" spans="1:7" s="22" customFormat="1" ht="15" customHeight="1" x14ac:dyDescent="0.25">
      <c r="A25" s="18" t="s">
        <v>57</v>
      </c>
      <c r="B25" s="111"/>
      <c r="C25" s="111"/>
      <c r="D25" s="111"/>
    </row>
    <row r="26" spans="1:7" s="22" customFormat="1" ht="15" customHeight="1" x14ac:dyDescent="0.25">
      <c r="A26" s="113" t="s">
        <v>85</v>
      </c>
      <c r="B26" s="114"/>
      <c r="C26" s="114"/>
      <c r="D26" s="120"/>
    </row>
    <row r="27" spans="1:7" s="22" customFormat="1" ht="15" customHeight="1" x14ac:dyDescent="0.25">
      <c r="A27" s="18" t="s">
        <v>83</v>
      </c>
      <c r="B27" s="111"/>
      <c r="C27" s="111"/>
      <c r="D27" s="111"/>
    </row>
    <row r="28" spans="1:7" s="22" customFormat="1" ht="15" customHeight="1" x14ac:dyDescent="0.25">
      <c r="A28" s="18" t="s">
        <v>63</v>
      </c>
      <c r="B28" s="111"/>
      <c r="C28" s="111"/>
      <c r="D28" s="111"/>
    </row>
    <row r="29" spans="1:7" s="22" customFormat="1" ht="15" customHeight="1" x14ac:dyDescent="0.25">
      <c r="A29" s="40" t="s">
        <v>57</v>
      </c>
      <c r="B29" s="111"/>
      <c r="C29" s="111"/>
      <c r="D29" s="111"/>
    </row>
    <row r="30" spans="1:7" s="22" customFormat="1" ht="15" customHeight="1" x14ac:dyDescent="0.25">
      <c r="A30" s="132" t="s">
        <v>171</v>
      </c>
      <c r="B30" s="133"/>
      <c r="C30" s="133"/>
      <c r="D30" s="133"/>
    </row>
    <row r="31" spans="1:7" ht="15.75" x14ac:dyDescent="0.25">
      <c r="A31" s="112" t="s">
        <v>94</v>
      </c>
      <c r="B31" s="112"/>
      <c r="C31" s="112"/>
      <c r="D31" s="112"/>
    </row>
    <row r="32" spans="1:7" ht="15.75" x14ac:dyDescent="0.25">
      <c r="A32" s="43" t="s">
        <v>65</v>
      </c>
      <c r="B32" s="76"/>
      <c r="C32" s="77"/>
      <c r="D32" s="77"/>
    </row>
    <row r="33" spans="1:7" ht="15.75" x14ac:dyDescent="0.25">
      <c r="A33" s="18" t="s">
        <v>66</v>
      </c>
      <c r="B33" s="63"/>
      <c r="C33" s="77"/>
      <c r="D33" s="77"/>
    </row>
    <row r="34" spans="1:7" ht="15.75" x14ac:dyDescent="0.25">
      <c r="A34" s="18" t="s">
        <v>67</v>
      </c>
      <c r="B34" s="63"/>
      <c r="C34" s="77"/>
      <c r="D34" s="77"/>
    </row>
    <row r="35" spans="1:7" ht="15.75" x14ac:dyDescent="0.25">
      <c r="A35" s="113"/>
      <c r="B35" s="114"/>
      <c r="C35" s="115"/>
      <c r="D35" s="116"/>
      <c r="E35" s="48"/>
      <c r="F35" s="48"/>
      <c r="G35" s="48"/>
    </row>
    <row r="36" spans="1:7" ht="15.75" x14ac:dyDescent="0.25">
      <c r="A36" s="117" t="s">
        <v>96</v>
      </c>
      <c r="B36" s="118"/>
      <c r="C36" s="118"/>
      <c r="D36" s="119"/>
      <c r="E36" s="17"/>
      <c r="F36" s="17"/>
      <c r="G36" s="17"/>
    </row>
    <row r="37" spans="1:7" ht="21.6" customHeight="1" x14ac:dyDescent="0.25">
      <c r="A37" s="43" t="s">
        <v>97</v>
      </c>
      <c r="B37" s="35" t="s">
        <v>69</v>
      </c>
      <c r="C37" s="35" t="s">
        <v>70</v>
      </c>
      <c r="D37" s="35" t="s">
        <v>95</v>
      </c>
      <c r="F37" s="36" t="s">
        <v>3</v>
      </c>
      <c r="G37" s="46" t="s">
        <v>100</v>
      </c>
    </row>
    <row r="38" spans="1:7" ht="15.75" x14ac:dyDescent="0.25">
      <c r="A38" s="18" t="s">
        <v>68</v>
      </c>
      <c r="B38" s="45"/>
      <c r="C38" s="80"/>
      <c r="D38" s="45"/>
      <c r="F38" s="49">
        <v>5</v>
      </c>
      <c r="G38" s="49">
        <f>IFERROR(IF($B38="Si",VLOOKUP($D38,Criterios!$Q$12:$R$14,2,FALSE),0),0)</f>
        <v>0</v>
      </c>
    </row>
    <row r="39" spans="1:7" ht="15.75" x14ac:dyDescent="0.25">
      <c r="A39" s="18" t="s">
        <v>72</v>
      </c>
      <c r="B39" s="45"/>
      <c r="C39" s="80"/>
      <c r="D39" s="91"/>
      <c r="F39" s="49">
        <v>5</v>
      </c>
      <c r="G39" s="49">
        <f>IFERROR(IF($B39="Si",VLOOKUP($D39,Criterios!$Q$16:$R$18,2,FALSE),0),0)</f>
        <v>0</v>
      </c>
    </row>
    <row r="40" spans="1:7" ht="15.75" hidden="1" x14ac:dyDescent="0.25">
      <c r="A40" s="61" t="s">
        <v>169</v>
      </c>
      <c r="B40" s="86"/>
      <c r="C40" s="91"/>
      <c r="D40" s="42"/>
      <c r="F40" s="1"/>
      <c r="G40" s="1"/>
    </row>
    <row r="41" spans="1:7" ht="15.75" x14ac:dyDescent="0.25">
      <c r="A41" s="44" t="s">
        <v>99</v>
      </c>
      <c r="B41" s="44" t="s">
        <v>69</v>
      </c>
      <c r="C41" s="55"/>
      <c r="D41" s="55"/>
    </row>
    <row r="42" spans="1:7" ht="15.75" x14ac:dyDescent="0.25">
      <c r="A42" s="41" t="s">
        <v>90</v>
      </c>
      <c r="B42" s="39"/>
      <c r="C42" s="55"/>
      <c r="D42" s="55"/>
    </row>
    <row r="43" spans="1:7" ht="15.75" hidden="1" x14ac:dyDescent="0.25">
      <c r="A43" s="61" t="s">
        <v>87</v>
      </c>
      <c r="B43" s="64"/>
      <c r="C43" s="55"/>
      <c r="D43" s="55"/>
    </row>
    <row r="44" spans="1:7" ht="15.75" hidden="1" x14ac:dyDescent="0.25">
      <c r="A44" s="61" t="s">
        <v>88</v>
      </c>
      <c r="B44" s="64"/>
      <c r="C44" s="55"/>
      <c r="D44" s="55"/>
    </row>
    <row r="45" spans="1:7" s="57" customFormat="1" ht="15.75" x14ac:dyDescent="0.25">
      <c r="A45" s="56"/>
    </row>
    <row r="46" spans="1:7" ht="15.75" x14ac:dyDescent="0.25">
      <c r="A46" s="108" t="s">
        <v>98</v>
      </c>
      <c r="B46" s="109"/>
      <c r="C46" s="109"/>
      <c r="D46" s="110"/>
    </row>
    <row r="47" spans="1:7" ht="16.149999999999999" customHeight="1" x14ac:dyDescent="0.25">
      <c r="A47" s="66" t="s">
        <v>97</v>
      </c>
      <c r="B47" s="67" t="s">
        <v>69</v>
      </c>
      <c r="C47" s="67" t="s">
        <v>70</v>
      </c>
      <c r="D47" s="67" t="s">
        <v>95</v>
      </c>
      <c r="F47" s="36" t="s">
        <v>3</v>
      </c>
      <c r="G47" s="46" t="s">
        <v>6</v>
      </c>
    </row>
    <row r="48" spans="1:7" ht="15.75" x14ac:dyDescent="0.25">
      <c r="A48" s="68" t="s">
        <v>71</v>
      </c>
      <c r="B48" s="45"/>
      <c r="C48" s="80"/>
      <c r="D48" s="94"/>
      <c r="F48" s="49">
        <v>5</v>
      </c>
      <c r="G48" s="49">
        <f>IF(B48="Si",5,0)</f>
        <v>0</v>
      </c>
    </row>
    <row r="49" spans="1:7" ht="15.75" x14ac:dyDescent="0.25">
      <c r="A49" s="68" t="s">
        <v>73</v>
      </c>
      <c r="B49" s="45"/>
      <c r="C49" s="80"/>
      <c r="D49" s="91"/>
      <c r="F49" s="49">
        <v>5</v>
      </c>
      <c r="G49" s="49">
        <f>IF(B49="Si",5,0)</f>
        <v>0</v>
      </c>
    </row>
    <row r="50" spans="1:7" ht="15.75" hidden="1" x14ac:dyDescent="0.25">
      <c r="A50" s="61" t="s">
        <v>159</v>
      </c>
      <c r="B50" s="45"/>
      <c r="C50" s="80"/>
      <c r="D50" s="42"/>
      <c r="F50" s="95"/>
      <c r="G50" s="95"/>
    </row>
    <row r="51" spans="1:7" ht="15.75" x14ac:dyDescent="0.25">
      <c r="A51" s="69" t="s">
        <v>74</v>
      </c>
      <c r="B51" s="45"/>
      <c r="C51" s="93"/>
      <c r="D51" s="55"/>
      <c r="F51" s="49">
        <v>9</v>
      </c>
      <c r="G51" s="49">
        <f>IF($B51="Si",F51,0)</f>
        <v>0</v>
      </c>
    </row>
    <row r="52" spans="1:7" ht="15.75" hidden="1" x14ac:dyDescent="0.25">
      <c r="A52" s="87" t="s">
        <v>160</v>
      </c>
      <c r="B52" s="45"/>
      <c r="C52" s="81"/>
      <c r="D52" s="42"/>
      <c r="F52" s="95"/>
      <c r="G52" s="95"/>
    </row>
    <row r="53" spans="1:7" ht="15.75" hidden="1" x14ac:dyDescent="0.25">
      <c r="A53" s="87" t="s">
        <v>161</v>
      </c>
      <c r="B53" s="91"/>
      <c r="C53" s="81"/>
      <c r="D53" s="42"/>
      <c r="F53" s="95"/>
      <c r="G53" s="95"/>
    </row>
    <row r="54" spans="1:7" ht="15.75" x14ac:dyDescent="0.25">
      <c r="A54" s="68" t="s">
        <v>76</v>
      </c>
      <c r="B54" s="45"/>
      <c r="C54" s="80"/>
      <c r="D54" s="55"/>
      <c r="F54" s="49" t="s">
        <v>215</v>
      </c>
      <c r="G54" s="49">
        <f>IFERROR(VLOOKUP(B54,Criterios!$B$8:$C$10,2,FALSE),0)</f>
        <v>0</v>
      </c>
    </row>
    <row r="55" spans="1:7" ht="15.75" x14ac:dyDescent="0.25">
      <c r="A55" s="69" t="s">
        <v>75</v>
      </c>
      <c r="B55" s="45"/>
      <c r="C55" s="80"/>
      <c r="D55" s="55"/>
      <c r="F55" s="49">
        <v>4</v>
      </c>
      <c r="G55" s="49">
        <f>IF($B55="Si",F55,0)</f>
        <v>0</v>
      </c>
    </row>
    <row r="56" spans="1:7" ht="15.75" x14ac:dyDescent="0.25">
      <c r="A56" s="70" t="s">
        <v>99</v>
      </c>
      <c r="B56" s="67" t="s">
        <v>69</v>
      </c>
      <c r="C56" s="55"/>
      <c r="D56" s="55"/>
      <c r="F56" s="22"/>
      <c r="G56" s="22"/>
    </row>
    <row r="57" spans="1:7" ht="15.75" x14ac:dyDescent="0.25">
      <c r="A57" s="71" t="s">
        <v>86</v>
      </c>
      <c r="B57" s="45"/>
      <c r="C57" s="55"/>
      <c r="D57" s="55"/>
    </row>
    <row r="58" spans="1:7" ht="15.75" hidden="1" x14ac:dyDescent="0.25">
      <c r="A58" s="61" t="s">
        <v>87</v>
      </c>
      <c r="B58" s="45"/>
      <c r="C58" s="55"/>
      <c r="D58" s="55"/>
    </row>
    <row r="59" spans="1:7" ht="15.75" hidden="1" x14ac:dyDescent="0.25">
      <c r="A59" s="61" t="s">
        <v>88</v>
      </c>
      <c r="B59" s="45"/>
      <c r="C59" s="55"/>
      <c r="D59" s="55"/>
    </row>
    <row r="60" spans="1:7" ht="15.75" x14ac:dyDescent="0.25">
      <c r="A60" s="72" t="s">
        <v>89</v>
      </c>
      <c r="B60" s="45"/>
      <c r="C60" s="55"/>
      <c r="D60" s="55"/>
    </row>
    <row r="61" spans="1:7" ht="15.75" hidden="1" x14ac:dyDescent="0.25">
      <c r="A61" s="72" t="s">
        <v>90</v>
      </c>
      <c r="B61" s="64"/>
      <c r="C61" s="55"/>
      <c r="D61" s="55"/>
    </row>
    <row r="62" spans="1:7" ht="18.600000000000001" customHeight="1" x14ac:dyDescent="0.25">
      <c r="A62" s="108" t="s">
        <v>167</v>
      </c>
      <c r="B62" s="109"/>
      <c r="C62" s="109"/>
      <c r="D62" s="110"/>
      <c r="F62" s="92" t="s">
        <v>3</v>
      </c>
      <c r="G62" s="92" t="s">
        <v>103</v>
      </c>
    </row>
    <row r="63" spans="1:7" s="22" customFormat="1" ht="15" customHeight="1" x14ac:dyDescent="0.25">
      <c r="A63" s="69" t="s">
        <v>102</v>
      </c>
      <c r="B63" s="137"/>
      <c r="C63" s="137"/>
      <c r="D63" s="137"/>
      <c r="F63" s="88" t="s">
        <v>205</v>
      </c>
      <c r="G63" s="49">
        <f>IFERROR(VLOOKUP(B63,Criterios!$K$2:$L$5,2,0),0)</f>
        <v>0</v>
      </c>
    </row>
    <row r="64" spans="1:7" s="22" customFormat="1" ht="16.149999999999999" customHeight="1" x14ac:dyDescent="0.25">
      <c r="A64" s="69" t="s">
        <v>101</v>
      </c>
      <c r="B64" s="137"/>
      <c r="C64" s="137"/>
      <c r="D64" s="137"/>
      <c r="F64" s="88">
        <v>3</v>
      </c>
      <c r="G64" s="49">
        <f>IF(B64="Si",F64,0)</f>
        <v>0</v>
      </c>
    </row>
    <row r="65" spans="1:7" s="22" customFormat="1" ht="31.5" x14ac:dyDescent="0.25">
      <c r="A65" s="69" t="s">
        <v>104</v>
      </c>
      <c r="B65" s="134"/>
      <c r="C65" s="134"/>
      <c r="D65" s="134"/>
      <c r="F65" s="88">
        <v>5</v>
      </c>
      <c r="G65" s="89">
        <f>IF(B65="Si",F65,0)</f>
        <v>0</v>
      </c>
    </row>
    <row r="66" spans="1:7" s="22" customFormat="1" ht="15.75" hidden="1" x14ac:dyDescent="0.25">
      <c r="A66" s="87" t="s">
        <v>158</v>
      </c>
      <c r="B66" s="135"/>
      <c r="C66" s="136"/>
      <c r="D66" s="136"/>
      <c r="F66" s="88">
        <v>5</v>
      </c>
      <c r="G66" s="89">
        <f>IFERROR(VLOOKUP(B66,Criterios!T14:U16,2,FALSE),0)</f>
        <v>0</v>
      </c>
    </row>
    <row r="67" spans="1:7" ht="15.6" customHeight="1" x14ac:dyDescent="0.25">
      <c r="A67" s="131"/>
      <c r="B67" s="131"/>
      <c r="C67" s="131"/>
      <c r="D67" s="131"/>
    </row>
    <row r="68" spans="1:7" ht="15.75" x14ac:dyDescent="0.25">
      <c r="A68" s="130" t="s">
        <v>105</v>
      </c>
      <c r="B68" s="130"/>
      <c r="C68" s="130"/>
      <c r="D68" s="130"/>
    </row>
    <row r="69" spans="1:7" ht="47.25" x14ac:dyDescent="0.25">
      <c r="A69" s="47" t="s">
        <v>46</v>
      </c>
      <c r="B69" s="46" t="s">
        <v>2</v>
      </c>
      <c r="C69" s="36" t="s">
        <v>5</v>
      </c>
      <c r="D69" s="31" t="s">
        <v>4</v>
      </c>
      <c r="F69" s="36" t="s">
        <v>3</v>
      </c>
      <c r="G69" s="46" t="s">
        <v>6</v>
      </c>
    </row>
    <row r="70" spans="1:7" x14ac:dyDescent="0.25">
      <c r="A70" s="30" t="s">
        <v>16</v>
      </c>
      <c r="B70" s="9" t="str">
        <f>IFERROR(VLOOKUP($B$3,Criterios!$B$30:$N$35,3,FALSE),"")</f>
        <v/>
      </c>
      <c r="C70" s="37"/>
      <c r="D70" s="32" t="str">
        <f>IFERROR(IF($B$3&lt;&gt;"",IF($C70&lt;&gt;"",1-($C70/$B70),"Sin informar el importe ofertado"),"Indique el nº de lote"),"")</f>
        <v>Indique el nº de lote</v>
      </c>
      <c r="F70" s="50">
        <v>17</v>
      </c>
      <c r="G70" s="49">
        <f>IFERROR(ROUND((POWER($D70,0.5))*$F70,2),0)</f>
        <v>0</v>
      </c>
    </row>
    <row r="71" spans="1:7" x14ac:dyDescent="0.25">
      <c r="A71" s="30" t="s">
        <v>37</v>
      </c>
      <c r="B71" s="9" t="str">
        <f>IFERROR(VLOOKUP($B$3,Criterios!$B$30:$N$35,4,FALSE),"")</f>
        <v/>
      </c>
      <c r="C71" s="37"/>
      <c r="D71" s="32" t="str">
        <f>IFERROR(IF($B$3&lt;&gt;"",IF($C71&lt;&gt;"",1-($C71/$B71),"Sin informar el importe ofertado"),"Indique el nº de lote"),"")</f>
        <v>Indique el nº de lote</v>
      </c>
      <c r="F71" s="50">
        <v>17</v>
      </c>
      <c r="G71" s="49">
        <f>IFERROR(ROUND((POWER($D71,0.5))*$F71,2),0)</f>
        <v>0</v>
      </c>
    </row>
    <row r="72" spans="1:7" hidden="1" x14ac:dyDescent="0.25">
      <c r="A72" s="62" t="s">
        <v>170</v>
      </c>
      <c r="B72" s="9" t="str">
        <f>IFERROR(VLOOKUP($B$3,Criterios!$B$30:$N$35,5,FALSE),"")</f>
        <v/>
      </c>
      <c r="C72" s="37"/>
      <c r="D72" s="32" t="str">
        <f>IFERROR(IF($B$3&lt;&gt;"",IF($C72&lt;&gt;"",1-($C72/$B72),"Sin informar el importe ofertado"),"Indique el nº de lote"),"")</f>
        <v>Indique el nº de lote</v>
      </c>
      <c r="F72" s="50">
        <v>25</v>
      </c>
      <c r="G72" s="49">
        <f>IFERROR(ROUND((POWER($D72,0.5))*$F72,2),0)</f>
        <v>0</v>
      </c>
    </row>
    <row r="73" spans="1:7" ht="47.25" x14ac:dyDescent="0.25">
      <c r="A73" s="68" t="s">
        <v>47</v>
      </c>
      <c r="B73" s="73" t="s">
        <v>2</v>
      </c>
      <c r="C73" s="74" t="s">
        <v>5</v>
      </c>
      <c r="D73" s="75" t="s">
        <v>4</v>
      </c>
      <c r="F73" s="19" t="s">
        <v>3</v>
      </c>
      <c r="G73" s="46" t="s">
        <v>6</v>
      </c>
    </row>
    <row r="74" spans="1:7" ht="15" customHeight="1" x14ac:dyDescent="0.25">
      <c r="A74" s="30" t="s">
        <v>38</v>
      </c>
      <c r="B74" s="9" t="str">
        <f>IFERROR(VLOOKUP($B$3,Criterios!$B$30:$N$35,6,FALSE),"")</f>
        <v/>
      </c>
      <c r="C74" s="34"/>
      <c r="D74" s="32" t="str">
        <f>IFERROR(IF($B51="Si",IF($C74&lt;&gt;"",1-($C74/$B74),"Sin informar el importe ofertado"),"No ha indicado disponibilidad"),"")</f>
        <v>No ha indicado disponibilidad</v>
      </c>
      <c r="F74" s="50">
        <v>4</v>
      </c>
      <c r="G74" s="49">
        <f>IF($B51="Si",IFERROR(ROUND((POWER($D74,0.5))*$F74,2),0),0)</f>
        <v>0</v>
      </c>
    </row>
    <row r="75" spans="1:7" hidden="1" x14ac:dyDescent="0.25">
      <c r="A75" s="62" t="s">
        <v>49</v>
      </c>
      <c r="B75" s="9" t="str">
        <f>IFERROR(VLOOKUP($B$3,Criterios!$B$30:$N$35,10,FALSE),"")</f>
        <v/>
      </c>
      <c r="C75" s="37"/>
      <c r="D75" s="96" t="str">
        <f>IFERROR(IF($B52="Si",IF($C75&lt;&gt;"",1-($C75/$B75),"Sin informar el importe ofertado"),"No ha indicado disponibilidad"),"")</f>
        <v>No ha indicado disponibilidad</v>
      </c>
      <c r="F75" s="50"/>
      <c r="G75" s="49">
        <f>IFERROR(ROUND((POWER(#REF!,0.5))*$C75,2),0)</f>
        <v>0</v>
      </c>
    </row>
    <row r="76" spans="1:7" ht="30" hidden="1" x14ac:dyDescent="0.25">
      <c r="A76" s="62" t="s">
        <v>48</v>
      </c>
      <c r="B76" s="9" t="str">
        <f>IFERROR(VLOOKUP($B$3,Criterios!$B$30:$N$35,11,FALSE),"")</f>
        <v/>
      </c>
      <c r="C76" s="37"/>
      <c r="D76" s="96" t="str">
        <f>IFERROR(IF($B53="Si",IF($C76&lt;&gt;"",1-($C76/$B76),"Sin informar el importe ofertado"),"No ha indicado disponibilidad"),"")</f>
        <v>No ha indicado disponibilidad</v>
      </c>
      <c r="F76" s="50"/>
      <c r="G76" s="49">
        <f>IFERROR(ROUND((POWER(#REF!,0.5))*$C76,2),0)</f>
        <v>0</v>
      </c>
    </row>
    <row r="77" spans="1:7" s="22" customFormat="1" ht="15" customHeight="1" x14ac:dyDescent="0.25">
      <c r="A77" s="58" t="s">
        <v>42</v>
      </c>
      <c r="B77" s="9" t="str">
        <f>IFERROR(VLOOKUP($B$3,Criterios!$B$30:$N$35,7,FALSE),"")</f>
        <v/>
      </c>
      <c r="C77" s="59"/>
      <c r="D77" s="60" t="str">
        <f>IFERROR(IF($B$54&lt;&gt;"",IF($C77&lt;&gt;"",1-($C77/$B77),"Sin informar el importe ofertado"),"No ha indicado disponibilidad"),"")</f>
        <v>No ha indicado disponibilidad</v>
      </c>
      <c r="F77" s="50">
        <v>2</v>
      </c>
      <c r="G77" s="49">
        <f>IF($B$54&lt;&gt;"No",IFERROR(ROUND((POWER($D77,0.5))*$F77,2),0),0)</f>
        <v>0</v>
      </c>
    </row>
    <row r="78" spans="1:7" s="22" customFormat="1" ht="15" customHeight="1" x14ac:dyDescent="0.25">
      <c r="A78" s="58" t="s">
        <v>41</v>
      </c>
      <c r="B78" s="9" t="str">
        <f>IFERROR(VLOOKUP($B$3,Criterios!$B$30:$N$35,8,FALSE),"")</f>
        <v/>
      </c>
      <c r="C78" s="59"/>
      <c r="D78" s="60" t="str">
        <f>IFERROR(IF($B$54&lt;&gt;"",IF($C78&lt;&gt;"",1-($C78/$B78),"Sin informar el importe ofertado"),"No ha indicado disponibilidad"),"")</f>
        <v>No ha indicado disponibilidad</v>
      </c>
      <c r="F78" s="50">
        <v>5</v>
      </c>
      <c r="G78" s="49">
        <f>IF($B$54&lt;&gt;"No",IFERROR(ROUND((POWER($D78,0.5))*$F78,2),0),0)</f>
        <v>0</v>
      </c>
    </row>
    <row r="79" spans="1:7" ht="15" customHeight="1" x14ac:dyDescent="0.25">
      <c r="A79" s="30" t="s">
        <v>45</v>
      </c>
      <c r="B79" s="9" t="str">
        <f>IFERROR(VLOOKUP($B$3,Criterios!$B$30:$N$35,9,FALSE),"")</f>
        <v/>
      </c>
      <c r="C79" s="34"/>
      <c r="D79" s="32" t="str">
        <f>IFERROR(IF($B55="Si",IF($C79&lt;&gt;"",1-($C79/$B79),"Sin informar el importe ofertado"),"No ha indicado disponibilidad"),"")</f>
        <v>No ha indicado disponibilidad</v>
      </c>
      <c r="F79" s="50">
        <v>4</v>
      </c>
      <c r="G79" s="49">
        <f>IF($B55="Si",IFERROR(ROUND((POWER($D79,0.5))*$F79,2),0),0)</f>
        <v>0</v>
      </c>
    </row>
    <row r="80" spans="1:7" ht="13.15" customHeight="1" x14ac:dyDescent="0.25">
      <c r="A80" s="68" t="s">
        <v>162</v>
      </c>
      <c r="B80" s="73" t="s">
        <v>163</v>
      </c>
      <c r="C80" s="2"/>
      <c r="D80" s="38"/>
      <c r="E80" s="5"/>
      <c r="F80" s="10"/>
      <c r="G80" s="4">
        <f>SUM(G38:G79)</f>
        <v>0</v>
      </c>
    </row>
    <row r="81" spans="1:4" x14ac:dyDescent="0.25">
      <c r="A81" s="30" t="s">
        <v>164</v>
      </c>
      <c r="B81" s="78"/>
    </row>
    <row r="82" spans="1:4" s="15" customFormat="1" x14ac:dyDescent="0.25">
      <c r="A82" s="58" t="s">
        <v>165</v>
      </c>
      <c r="B82" s="79"/>
      <c r="C82" s="2"/>
      <c r="D82" s="38"/>
    </row>
    <row r="83" spans="1:4" x14ac:dyDescent="0.25">
      <c r="A83" s="58" t="s">
        <v>166</v>
      </c>
      <c r="B83" s="79"/>
      <c r="C83" s="17"/>
      <c r="D83" s="17"/>
    </row>
  </sheetData>
  <sheetProtection algorithmName="SHA-512" hashValue="/3FAVChj2c+H54mZ5zcCZRcQEyOc6/uWsUG3YNcobQKEQM+PLYVBZsLOI1S+bAt1bcx5z0lrKJ65m7d0EvhkAw==" saltValue="uzxtQ5vJEnRQED2uJzQEtQ==" spinCount="100000" sheet="1" objects="1" scenarios="1"/>
  <dataConsolidate/>
  <mergeCells count="38">
    <mergeCell ref="B3:D3"/>
    <mergeCell ref="B4:D4"/>
    <mergeCell ref="B5:D5"/>
    <mergeCell ref="A2:D2"/>
    <mergeCell ref="A1:D1"/>
    <mergeCell ref="A68:D68"/>
    <mergeCell ref="A62:D62"/>
    <mergeCell ref="B15:D15"/>
    <mergeCell ref="B18:D18"/>
    <mergeCell ref="B19:D19"/>
    <mergeCell ref="B20:D20"/>
    <mergeCell ref="B21:D21"/>
    <mergeCell ref="B23:D23"/>
    <mergeCell ref="B24:D24"/>
    <mergeCell ref="B25:D25"/>
    <mergeCell ref="A67:D67"/>
    <mergeCell ref="A30:D30"/>
    <mergeCell ref="B65:D65"/>
    <mergeCell ref="B66:D66"/>
    <mergeCell ref="B63:D63"/>
    <mergeCell ref="B64:D64"/>
    <mergeCell ref="A22:D22"/>
    <mergeCell ref="A26:D26"/>
    <mergeCell ref="B14:D14"/>
    <mergeCell ref="B6:D6"/>
    <mergeCell ref="B7:D7"/>
    <mergeCell ref="A9:D9"/>
    <mergeCell ref="B10:D10"/>
    <mergeCell ref="B11:D11"/>
    <mergeCell ref="A12:D12"/>
    <mergeCell ref="A13:D13"/>
    <mergeCell ref="A46:D46"/>
    <mergeCell ref="B28:D28"/>
    <mergeCell ref="B29:D29"/>
    <mergeCell ref="A31:D31"/>
    <mergeCell ref="B27:D27"/>
    <mergeCell ref="A35:D35"/>
    <mergeCell ref="A36:D36"/>
  </mergeCells>
  <conditionalFormatting sqref="C38:C39">
    <cfRule type="expression" dxfId="35" priority="12">
      <formula>AND(B38="Si",C38="")</formula>
    </cfRule>
  </conditionalFormatting>
  <conditionalFormatting sqref="D38:D39">
    <cfRule type="expression" dxfId="34" priority="11">
      <formula>AND(B38="Si",D38="")</formula>
    </cfRule>
  </conditionalFormatting>
  <conditionalFormatting sqref="C48:C49">
    <cfRule type="expression" dxfId="33" priority="10">
      <formula>AND(B48="Si",C48="")</formula>
    </cfRule>
  </conditionalFormatting>
  <conditionalFormatting sqref="D48:D49">
    <cfRule type="expression" dxfId="32" priority="9">
      <formula>AND(B48="Si",D48="")</formula>
    </cfRule>
  </conditionalFormatting>
  <conditionalFormatting sqref="C51 C55">
    <cfRule type="expression" dxfId="31" priority="8">
      <formula>AND(B51="Si",C51="")</formula>
    </cfRule>
  </conditionalFormatting>
  <conditionalFormatting sqref="C54">
    <cfRule type="expression" dxfId="30" priority="7">
      <formula>AND(OR(B54="Convencional",B54="Digital"),C54="")</formula>
    </cfRule>
  </conditionalFormatting>
  <conditionalFormatting sqref="C70">
    <cfRule type="expression" dxfId="29" priority="6">
      <formula>$C$70=""</formula>
    </cfRule>
  </conditionalFormatting>
  <conditionalFormatting sqref="C71:C72">
    <cfRule type="expression" dxfId="28" priority="4">
      <formula>$C$70=""</formula>
    </cfRule>
  </conditionalFormatting>
  <conditionalFormatting sqref="C50">
    <cfRule type="expression" dxfId="27" priority="2">
      <formula>AND(B50="Si",C50="")</formula>
    </cfRule>
  </conditionalFormatting>
  <dataValidations count="2">
    <dataValidation type="custom" allowBlank="1" showInputMessage="1" showErrorMessage="1" errorTitle="Validación dato introducido" error="El importe debe ser menor o igual al máximo de ese servicio y múltiplo de 0,1€" sqref="C70:C72 C74 C77:C79" xr:uid="{00000000-0002-0000-0300-000000000000}">
      <formula1>AND(C70=MROUND(C70,0.1),C70&lt;=B70)</formula1>
    </dataValidation>
    <dataValidation type="custom" allowBlank="1" showInputMessage="1" showErrorMessage="1" sqref="C75:C76" xr:uid="{00000000-0002-0000-0300-000001000000}">
      <formula1>AND(C75=MROUND(C75,0.1),C75&lt;=XEZ75)</formula1>
    </dataValidation>
  </dataValidations>
  <pageMargins left="0.70866141732283472" right="0.70866141732283472" top="0.74803149606299213" bottom="0.74803149606299213" header="0.31496062992125984" footer="0.31496062992125984"/>
  <pageSetup paperSize="9" scale="61" fitToWidth="0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300-000002000000}">
          <x14:formula1>
            <xm:f>Criterios!$K$2:$K$5</xm:f>
          </x14:formula1>
          <xm:sqref>B63:D63</xm:sqref>
        </x14:dataValidation>
        <x14:dataValidation type="list" allowBlank="1" showInputMessage="1" showErrorMessage="1" xr:uid="{00000000-0002-0000-0300-000003000000}">
          <x14:formula1>
            <xm:f>Criterios!$B$2:$B$3</xm:f>
          </x14:formula1>
          <xm:sqref>B42:B44 B64:D65 B57:B61 B32:B34 B55 B38:B40 B48:B53</xm:sqref>
        </x14:dataValidation>
        <x14:dataValidation type="list" allowBlank="1" showInputMessage="1" showErrorMessage="1" xr:uid="{00000000-0002-0000-0300-000004000000}">
          <x14:formula1>
            <xm:f>Criterios!$N$13:$N$14</xm:f>
          </x14:formula1>
          <xm:sqref>D38 D48</xm:sqref>
        </x14:dataValidation>
        <x14:dataValidation type="list" allowBlank="1" showInputMessage="1" showErrorMessage="1" xr:uid="{00000000-0002-0000-0300-000005000000}">
          <x14:formula1>
            <xm:f>Criterios!$N$17:$N$18</xm:f>
          </x14:formula1>
          <xm:sqref>D39 D49</xm:sqref>
        </x14:dataValidation>
        <x14:dataValidation type="list" allowBlank="1" showInputMessage="1" showErrorMessage="1" xr:uid="{00000000-0002-0000-0300-000006000000}">
          <x14:formula1>
            <xm:f>Criterios!$T$14:$T$16</xm:f>
          </x14:formula1>
          <xm:sqref>B66:D66</xm:sqref>
        </x14:dataValidation>
        <x14:dataValidation type="list" allowBlank="1" showInputMessage="1" showErrorMessage="1" xr:uid="{00000000-0002-0000-0300-000007000000}">
          <x14:formula1>
            <xm:f>Criterios!$Y$2:$Y$52</xm:f>
          </x14:formula1>
          <xm:sqref>D8</xm:sqref>
        </x14:dataValidation>
        <x14:dataValidation type="list" allowBlank="1" showInputMessage="1" showErrorMessage="1" xr:uid="{00000000-0002-0000-0300-000008000000}">
          <x14:formula1>
            <xm:f>Criterios!$B$8:$B$10</xm:f>
          </x14:formula1>
          <xm:sqref>B54</xm:sqref>
        </x14:dataValidation>
        <x14:dataValidation type="list" allowBlank="1" showInputMessage="1" showErrorMessage="1" xr:uid="{00000000-0002-0000-0300-000009000000}">
          <x14:formula1>
            <xm:f>Criterios!$B$30:$B$35</xm:f>
          </x14:formula1>
          <xm:sqref>B3:D3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03D0-4304-41D1-BF98-D4242F0282B6}">
  <dimension ref="A1:G83"/>
  <sheetViews>
    <sheetView workbookViewId="0">
      <selection activeCell="I3" sqref="I2:I3"/>
    </sheetView>
  </sheetViews>
  <sheetFormatPr baseColWidth="10" defaultRowHeight="15" x14ac:dyDescent="0.25"/>
  <cols>
    <col min="1" max="1" width="51.7109375" customWidth="1"/>
    <col min="2" max="2" width="18.7109375" customWidth="1"/>
    <col min="3" max="3" width="19.85546875" bestFit="1" customWidth="1"/>
    <col min="4" max="4" width="27.7109375" bestFit="1" customWidth="1"/>
    <col min="5" max="5" width="10.28515625" customWidth="1"/>
    <col min="6" max="6" width="17.85546875" hidden="1" customWidth="1"/>
    <col min="7" max="7" width="18.140625" hidden="1" customWidth="1"/>
  </cols>
  <sheetData>
    <row r="1" spans="1:4" ht="75.75" customHeight="1" x14ac:dyDescent="0.25">
      <c r="A1" s="142" t="s">
        <v>212</v>
      </c>
      <c r="B1" s="143"/>
      <c r="C1" s="143"/>
      <c r="D1" s="144"/>
    </row>
    <row r="2" spans="1:4" s="22" customFormat="1" ht="53.25" customHeight="1" x14ac:dyDescent="0.25">
      <c r="A2" s="140" t="s">
        <v>172</v>
      </c>
      <c r="B2" s="141"/>
      <c r="C2" s="141"/>
      <c r="D2" s="141"/>
    </row>
    <row r="3" spans="1:4" s="22" customFormat="1" ht="15" customHeight="1" x14ac:dyDescent="0.25">
      <c r="A3" s="65" t="s">
        <v>35</v>
      </c>
      <c r="B3" s="138"/>
      <c r="C3" s="138"/>
      <c r="D3" s="138"/>
    </row>
    <row r="4" spans="1:4" s="22" customFormat="1" ht="15" customHeight="1" x14ac:dyDescent="0.25">
      <c r="A4" s="65" t="s">
        <v>36</v>
      </c>
      <c r="B4" s="139" t="str">
        <f>IFERROR(VLOOKUP(B3,Criterios!B22:N35,2,FALSE),"")</f>
        <v/>
      </c>
      <c r="C4" s="139"/>
      <c r="D4" s="139"/>
    </row>
    <row r="5" spans="1:4" s="22" customFormat="1" ht="15" customHeight="1" x14ac:dyDescent="0.25">
      <c r="A5" s="65" t="s">
        <v>53</v>
      </c>
      <c r="B5" s="111"/>
      <c r="C5" s="111"/>
      <c r="D5" s="111"/>
    </row>
    <row r="6" spans="1:4" s="22" customFormat="1" ht="15" customHeight="1" x14ac:dyDescent="0.25">
      <c r="A6" s="65" t="s">
        <v>0</v>
      </c>
      <c r="B6" s="111"/>
      <c r="C6" s="111"/>
      <c r="D6" s="111"/>
    </row>
    <row r="7" spans="1:4" s="22" customFormat="1" ht="15" customHeight="1" x14ac:dyDescent="0.25">
      <c r="A7" s="65" t="s">
        <v>61</v>
      </c>
      <c r="B7" s="111"/>
      <c r="C7" s="111"/>
      <c r="D7" s="111"/>
    </row>
    <row r="8" spans="1:4" s="22" customFormat="1" ht="15" customHeight="1" x14ac:dyDescent="0.25">
      <c r="A8" s="65" t="s">
        <v>1</v>
      </c>
      <c r="B8" s="52"/>
      <c r="C8" s="65" t="s">
        <v>56</v>
      </c>
      <c r="D8" s="53"/>
    </row>
    <row r="9" spans="1:4" s="22" customFormat="1" ht="15" customHeight="1" x14ac:dyDescent="0.25">
      <c r="A9" s="112" t="s">
        <v>91</v>
      </c>
      <c r="B9" s="112"/>
      <c r="C9" s="112"/>
      <c r="D9" s="112"/>
    </row>
    <row r="10" spans="1:4" s="22" customFormat="1" ht="15" customHeight="1" x14ac:dyDescent="0.25">
      <c r="A10" s="65" t="s">
        <v>92</v>
      </c>
      <c r="B10" s="121"/>
      <c r="C10" s="122"/>
      <c r="D10" s="123"/>
    </row>
    <row r="11" spans="1:4" s="22" customFormat="1" ht="15" customHeight="1" x14ac:dyDescent="0.25">
      <c r="A11" s="21" t="s">
        <v>93</v>
      </c>
      <c r="B11" s="124"/>
      <c r="C11" s="125"/>
      <c r="D11" s="126"/>
    </row>
    <row r="12" spans="1:4" s="22" customFormat="1" ht="48" customHeight="1" x14ac:dyDescent="0.25">
      <c r="A12" s="127" t="str">
        <f>IF(B11&lt;&gt;"",CONCATENATE("Don/Dña. ",B10, ", con DNI nº ",B11,", en nombre propio/en representación de la empresa ",B5,", con domicilio social en ",B7," y con CIF nº ",B6,", declara que adscribirá a la ejecución del servicio los siguientes centros y equipos:"),"")</f>
        <v/>
      </c>
      <c r="B12" s="128"/>
      <c r="C12" s="128"/>
      <c r="D12" s="129"/>
    </row>
    <row r="13" spans="1:4" s="22" customFormat="1" ht="15" customHeight="1" x14ac:dyDescent="0.25">
      <c r="A13" s="117" t="s">
        <v>62</v>
      </c>
      <c r="B13" s="118"/>
      <c r="C13" s="118"/>
      <c r="D13" s="119"/>
    </row>
    <row r="14" spans="1:4" s="22" customFormat="1" ht="15" customHeight="1" x14ac:dyDescent="0.25">
      <c r="A14" s="65" t="s">
        <v>54</v>
      </c>
      <c r="B14" s="121"/>
      <c r="C14" s="122"/>
      <c r="D14" s="123"/>
    </row>
    <row r="15" spans="1:4" s="22" customFormat="1" ht="15" customHeight="1" x14ac:dyDescent="0.25">
      <c r="A15" s="65" t="s">
        <v>55</v>
      </c>
      <c r="B15" s="121"/>
      <c r="C15" s="122"/>
      <c r="D15" s="123"/>
    </row>
    <row r="16" spans="1:4" s="22" customFormat="1" ht="15" customHeight="1" x14ac:dyDescent="0.25">
      <c r="A16" s="65" t="s">
        <v>1</v>
      </c>
      <c r="B16" s="54"/>
      <c r="C16" s="65" t="s">
        <v>56</v>
      </c>
      <c r="D16" s="82" t="str">
        <f>IFERROR(VLOOKUP(B3,Criterios!B22:N35,13,FALSE),"Elija nº de lote")</f>
        <v>Elija nº de lote</v>
      </c>
    </row>
    <row r="17" spans="1:7" s="22" customFormat="1" ht="15" customHeight="1" x14ac:dyDescent="0.25">
      <c r="A17" s="65" t="s">
        <v>57</v>
      </c>
      <c r="B17" s="53"/>
      <c r="C17" s="65" t="s">
        <v>60</v>
      </c>
      <c r="D17" s="53"/>
    </row>
    <row r="18" spans="1:7" s="22" customFormat="1" ht="15" customHeight="1" x14ac:dyDescent="0.25">
      <c r="A18" s="65" t="s">
        <v>58</v>
      </c>
      <c r="B18" s="111"/>
      <c r="C18" s="111"/>
      <c r="D18" s="111"/>
    </row>
    <row r="19" spans="1:7" s="22" customFormat="1" ht="15" customHeight="1" x14ac:dyDescent="0.25">
      <c r="A19" s="65" t="s">
        <v>59</v>
      </c>
      <c r="B19" s="111"/>
      <c r="C19" s="111"/>
      <c r="D19" s="111"/>
      <c r="F19" s="48"/>
      <c r="G19" s="48"/>
    </row>
    <row r="20" spans="1:7" s="22" customFormat="1" ht="15" customHeight="1" x14ac:dyDescent="0.25">
      <c r="A20" s="65" t="s">
        <v>63</v>
      </c>
      <c r="B20" s="111"/>
      <c r="C20" s="111"/>
      <c r="D20" s="111"/>
    </row>
    <row r="21" spans="1:7" s="22" customFormat="1" ht="15" customHeight="1" x14ac:dyDescent="0.25">
      <c r="A21" s="65" t="s">
        <v>64</v>
      </c>
      <c r="B21" s="111"/>
      <c r="C21" s="111"/>
      <c r="D21" s="111"/>
    </row>
    <row r="22" spans="1:7" s="22" customFormat="1" ht="17.45" customHeight="1" x14ac:dyDescent="0.25">
      <c r="A22" s="113" t="s">
        <v>84</v>
      </c>
      <c r="B22" s="114"/>
      <c r="C22" s="114"/>
      <c r="D22" s="120"/>
    </row>
    <row r="23" spans="1:7" s="22" customFormat="1" ht="15" customHeight="1" x14ac:dyDescent="0.25">
      <c r="A23" s="65" t="s">
        <v>83</v>
      </c>
      <c r="B23" s="111"/>
      <c r="C23" s="111"/>
      <c r="D23" s="111"/>
    </row>
    <row r="24" spans="1:7" s="22" customFormat="1" ht="15" customHeight="1" x14ac:dyDescent="0.25">
      <c r="A24" s="65" t="s">
        <v>63</v>
      </c>
      <c r="B24" s="111"/>
      <c r="C24" s="111"/>
      <c r="D24" s="111"/>
    </row>
    <row r="25" spans="1:7" s="22" customFormat="1" ht="15" customHeight="1" x14ac:dyDescent="0.25">
      <c r="A25" s="65" t="s">
        <v>57</v>
      </c>
      <c r="B25" s="111"/>
      <c r="C25" s="111"/>
      <c r="D25" s="111"/>
    </row>
    <row r="26" spans="1:7" s="22" customFormat="1" ht="15" customHeight="1" x14ac:dyDescent="0.25">
      <c r="A26" s="113" t="s">
        <v>85</v>
      </c>
      <c r="B26" s="114"/>
      <c r="C26" s="114"/>
      <c r="D26" s="120"/>
    </row>
    <row r="27" spans="1:7" s="22" customFormat="1" ht="15" customHeight="1" x14ac:dyDescent="0.25">
      <c r="A27" s="65" t="s">
        <v>83</v>
      </c>
      <c r="B27" s="111"/>
      <c r="C27" s="111"/>
      <c r="D27" s="111"/>
    </row>
    <row r="28" spans="1:7" s="22" customFormat="1" ht="15" customHeight="1" x14ac:dyDescent="0.25">
      <c r="A28" s="65" t="s">
        <v>63</v>
      </c>
      <c r="B28" s="111"/>
      <c r="C28" s="111"/>
      <c r="D28" s="111"/>
    </row>
    <row r="29" spans="1:7" s="22" customFormat="1" ht="15" customHeight="1" x14ac:dyDescent="0.25">
      <c r="A29" s="65" t="s">
        <v>57</v>
      </c>
      <c r="B29" s="111"/>
      <c r="C29" s="111"/>
      <c r="D29" s="111"/>
    </row>
    <row r="30" spans="1:7" s="22" customFormat="1" ht="15" customHeight="1" x14ac:dyDescent="0.25">
      <c r="A30" s="132" t="s">
        <v>171</v>
      </c>
      <c r="B30" s="133"/>
      <c r="C30" s="133"/>
      <c r="D30" s="133"/>
    </row>
    <row r="31" spans="1:7" ht="15.75" x14ac:dyDescent="0.25">
      <c r="A31" s="112" t="s">
        <v>94</v>
      </c>
      <c r="B31" s="112"/>
      <c r="C31" s="112"/>
      <c r="D31" s="112"/>
    </row>
    <row r="32" spans="1:7" ht="15.75" x14ac:dyDescent="0.25">
      <c r="A32" s="43" t="s">
        <v>65</v>
      </c>
      <c r="B32" s="76"/>
      <c r="C32" s="77"/>
      <c r="D32" s="77"/>
    </row>
    <row r="33" spans="1:7" ht="15.75" x14ac:dyDescent="0.25">
      <c r="A33" s="65" t="s">
        <v>66</v>
      </c>
      <c r="B33" s="98"/>
      <c r="C33" s="77"/>
      <c r="D33" s="77"/>
    </row>
    <row r="34" spans="1:7" ht="15.75" x14ac:dyDescent="0.25">
      <c r="A34" s="65" t="s">
        <v>67</v>
      </c>
      <c r="B34" s="98"/>
      <c r="C34" s="77"/>
      <c r="D34" s="77"/>
    </row>
    <row r="35" spans="1:7" ht="15.75" x14ac:dyDescent="0.25">
      <c r="A35" s="113"/>
      <c r="B35" s="114"/>
      <c r="C35" s="115"/>
      <c r="D35" s="116"/>
      <c r="E35" s="48"/>
      <c r="F35" s="48"/>
      <c r="G35" s="48"/>
    </row>
    <row r="36" spans="1:7" ht="15.75" x14ac:dyDescent="0.25">
      <c r="A36" s="117" t="s">
        <v>96</v>
      </c>
      <c r="B36" s="118"/>
      <c r="C36" s="118"/>
      <c r="D36" s="119"/>
      <c r="E36" s="17"/>
      <c r="F36" s="17"/>
      <c r="G36" s="17"/>
    </row>
    <row r="37" spans="1:7" ht="21.6" customHeight="1" x14ac:dyDescent="0.25">
      <c r="A37" s="43" t="s">
        <v>97</v>
      </c>
      <c r="B37" s="102" t="s">
        <v>69</v>
      </c>
      <c r="C37" s="102" t="s">
        <v>70</v>
      </c>
      <c r="D37" s="102" t="s">
        <v>95</v>
      </c>
      <c r="F37" s="99" t="s">
        <v>3</v>
      </c>
      <c r="G37" s="84" t="s">
        <v>100</v>
      </c>
    </row>
    <row r="38" spans="1:7" ht="15.75" x14ac:dyDescent="0.25">
      <c r="A38" s="65" t="s">
        <v>68</v>
      </c>
      <c r="B38" s="101"/>
      <c r="C38" s="80"/>
      <c r="D38" s="101"/>
      <c r="F38" s="49">
        <v>15</v>
      </c>
      <c r="G38" s="49">
        <f>IFERROR(IF($B38="Si",VLOOKUP($D38,Criterios!$N$13:$O$14,2,FALSE),0),0)</f>
        <v>0</v>
      </c>
    </row>
    <row r="39" spans="1:7" ht="15.75" hidden="1" x14ac:dyDescent="0.25">
      <c r="A39" s="65" t="s">
        <v>72</v>
      </c>
      <c r="B39" s="101"/>
      <c r="C39" s="80"/>
      <c r="D39" s="101"/>
      <c r="F39" s="49">
        <v>5</v>
      </c>
      <c r="G39" s="49">
        <f>IFERROR(IF($B39="Si",VLOOKUP($D39,Criterios!$N$17:$O$18,2,FALSE),0),0)</f>
        <v>0</v>
      </c>
    </row>
    <row r="40" spans="1:7" ht="15.75" hidden="1" x14ac:dyDescent="0.25">
      <c r="A40" s="61" t="s">
        <v>169</v>
      </c>
      <c r="B40" s="101"/>
      <c r="C40" s="101"/>
      <c r="D40" s="42"/>
      <c r="F40" s="1"/>
      <c r="G40" s="1"/>
    </row>
    <row r="41" spans="1:7" ht="15.75" x14ac:dyDescent="0.25">
      <c r="A41" s="44" t="s">
        <v>99</v>
      </c>
      <c r="B41" s="44" t="s">
        <v>69</v>
      </c>
      <c r="C41" s="55"/>
      <c r="D41" s="55"/>
    </row>
    <row r="42" spans="1:7" ht="15.75" x14ac:dyDescent="0.25">
      <c r="A42" s="85" t="s">
        <v>90</v>
      </c>
      <c r="B42" s="101"/>
      <c r="C42" s="55"/>
      <c r="D42" s="55"/>
    </row>
    <row r="43" spans="1:7" ht="15.75" hidden="1" x14ac:dyDescent="0.25">
      <c r="A43" s="61" t="s">
        <v>87</v>
      </c>
      <c r="B43" s="101"/>
      <c r="C43" s="55"/>
      <c r="D43" s="55"/>
    </row>
    <row r="44" spans="1:7" ht="15.75" hidden="1" x14ac:dyDescent="0.25">
      <c r="A44" s="61" t="s">
        <v>88</v>
      </c>
      <c r="B44" s="101"/>
      <c r="C44" s="55"/>
      <c r="D44" s="55"/>
    </row>
    <row r="45" spans="1:7" s="57" customFormat="1" ht="15.75" x14ac:dyDescent="0.25">
      <c r="A45" s="56"/>
    </row>
    <row r="46" spans="1:7" ht="15.75" x14ac:dyDescent="0.25">
      <c r="A46" s="108" t="s">
        <v>98</v>
      </c>
      <c r="B46" s="109"/>
      <c r="C46" s="109"/>
      <c r="D46" s="110"/>
    </row>
    <row r="47" spans="1:7" ht="16.149999999999999" customHeight="1" x14ac:dyDescent="0.25">
      <c r="A47" s="100" t="s">
        <v>97</v>
      </c>
      <c r="B47" s="67" t="s">
        <v>69</v>
      </c>
      <c r="C47" s="67" t="s">
        <v>70</v>
      </c>
      <c r="D47" s="67" t="s">
        <v>95</v>
      </c>
      <c r="F47" s="99" t="s">
        <v>3</v>
      </c>
      <c r="G47" s="84" t="s">
        <v>6</v>
      </c>
    </row>
    <row r="48" spans="1:7" ht="15.75" x14ac:dyDescent="0.25">
      <c r="A48" s="68" t="s">
        <v>71</v>
      </c>
      <c r="B48" s="101"/>
      <c r="C48" s="80"/>
      <c r="D48" s="101"/>
      <c r="F48" s="49">
        <v>14</v>
      </c>
      <c r="G48" s="49">
        <f>IF(B48="Si",F48,0)</f>
        <v>0</v>
      </c>
    </row>
    <row r="49" spans="1:7" ht="15.75" hidden="1" x14ac:dyDescent="0.25">
      <c r="A49" s="68" t="s">
        <v>73</v>
      </c>
      <c r="B49" s="101"/>
      <c r="C49" s="80"/>
      <c r="D49" s="101"/>
      <c r="F49" s="49">
        <v>5</v>
      </c>
      <c r="G49" s="49">
        <f>IF(B49="Si",5,0)</f>
        <v>0</v>
      </c>
    </row>
    <row r="50" spans="1:7" ht="15.75" hidden="1" x14ac:dyDescent="0.25">
      <c r="A50" s="61" t="s">
        <v>159</v>
      </c>
      <c r="B50" s="101"/>
      <c r="C50" s="80"/>
      <c r="D50" s="42"/>
      <c r="F50" s="95"/>
      <c r="G50" s="95"/>
    </row>
    <row r="51" spans="1:7" ht="15.75" hidden="1" x14ac:dyDescent="0.25">
      <c r="A51" s="69" t="s">
        <v>74</v>
      </c>
      <c r="B51" s="101"/>
      <c r="C51" s="93"/>
      <c r="D51" s="55"/>
      <c r="F51" s="49">
        <v>9</v>
      </c>
      <c r="G51" s="49">
        <f>IF($B51="Si",F51,0)</f>
        <v>0</v>
      </c>
    </row>
    <row r="52" spans="1:7" ht="15.75" hidden="1" x14ac:dyDescent="0.25">
      <c r="A52" s="87" t="s">
        <v>160</v>
      </c>
      <c r="B52" s="101"/>
      <c r="C52" s="81"/>
      <c r="D52" s="42"/>
      <c r="F52" s="95"/>
      <c r="G52" s="95"/>
    </row>
    <row r="53" spans="1:7" ht="15.75" hidden="1" x14ac:dyDescent="0.25">
      <c r="A53" s="87" t="s">
        <v>161</v>
      </c>
      <c r="B53" s="101"/>
      <c r="C53" s="81"/>
      <c r="D53" s="42"/>
      <c r="F53" s="95"/>
      <c r="G53" s="95"/>
    </row>
    <row r="54" spans="1:7" ht="15.75" x14ac:dyDescent="0.25">
      <c r="A54" s="68" t="s">
        <v>76</v>
      </c>
      <c r="B54" s="101"/>
      <c r="C54" s="80"/>
      <c r="D54" s="55"/>
      <c r="F54" s="49" t="s">
        <v>215</v>
      </c>
      <c r="G54" s="49">
        <f>IFERROR(VLOOKUP(B54,Criterios!B13:C15,2,FALSE),0)</f>
        <v>0</v>
      </c>
    </row>
    <row r="55" spans="1:7" ht="15.75" x14ac:dyDescent="0.25">
      <c r="A55" s="69" t="s">
        <v>75</v>
      </c>
      <c r="B55" s="101"/>
      <c r="C55" s="80"/>
      <c r="D55" s="55"/>
      <c r="F55" s="49">
        <v>4</v>
      </c>
      <c r="G55" s="49">
        <f>IF($B55="Si",F55,0)</f>
        <v>0</v>
      </c>
    </row>
    <row r="56" spans="1:7" ht="15.75" x14ac:dyDescent="0.25">
      <c r="A56" s="70" t="s">
        <v>99</v>
      </c>
      <c r="B56" s="67" t="s">
        <v>69</v>
      </c>
      <c r="C56" s="55"/>
      <c r="D56" s="55"/>
      <c r="F56" s="22"/>
      <c r="G56" s="22"/>
    </row>
    <row r="57" spans="1:7" ht="15.75" hidden="1" x14ac:dyDescent="0.25">
      <c r="A57" s="71" t="s">
        <v>86</v>
      </c>
      <c r="B57" s="101"/>
      <c r="C57" s="55"/>
      <c r="D57" s="55"/>
    </row>
    <row r="58" spans="1:7" ht="15.75" hidden="1" x14ac:dyDescent="0.25">
      <c r="A58" s="61" t="s">
        <v>87</v>
      </c>
      <c r="B58" s="101"/>
      <c r="C58" s="55"/>
      <c r="D58" s="55"/>
    </row>
    <row r="59" spans="1:7" ht="15.75" hidden="1" x14ac:dyDescent="0.25">
      <c r="A59" s="61" t="s">
        <v>88</v>
      </c>
      <c r="B59" s="101"/>
      <c r="C59" s="55"/>
      <c r="D59" s="55"/>
    </row>
    <row r="60" spans="1:7" ht="15.75" x14ac:dyDescent="0.25">
      <c r="A60" s="72" t="s">
        <v>89</v>
      </c>
      <c r="B60" s="101"/>
      <c r="C60" s="55"/>
      <c r="D60" s="55"/>
    </row>
    <row r="61" spans="1:7" ht="15.75" hidden="1" x14ac:dyDescent="0.25">
      <c r="A61" s="72" t="s">
        <v>90</v>
      </c>
      <c r="B61" s="101"/>
      <c r="C61" s="55"/>
      <c r="D61" s="55"/>
    </row>
    <row r="62" spans="1:7" ht="18.600000000000001" customHeight="1" x14ac:dyDescent="0.25">
      <c r="A62" s="108" t="s">
        <v>167</v>
      </c>
      <c r="B62" s="109"/>
      <c r="C62" s="109"/>
      <c r="D62" s="110"/>
      <c r="F62" s="99" t="s">
        <v>3</v>
      </c>
      <c r="G62" s="99" t="s">
        <v>103</v>
      </c>
    </row>
    <row r="63" spans="1:7" s="22" customFormat="1" ht="15" customHeight="1" x14ac:dyDescent="0.25">
      <c r="A63" s="69" t="s">
        <v>102</v>
      </c>
      <c r="B63" s="137"/>
      <c r="C63" s="137"/>
      <c r="D63" s="137"/>
      <c r="F63" s="88" t="s">
        <v>205</v>
      </c>
      <c r="G63" s="49">
        <f>IFERROR(VLOOKUP(B63,Criterios!$K$2:$L$5,2,0),0)</f>
        <v>0</v>
      </c>
    </row>
    <row r="64" spans="1:7" s="22" customFormat="1" ht="16.149999999999999" customHeight="1" x14ac:dyDescent="0.25">
      <c r="A64" s="69" t="s">
        <v>101</v>
      </c>
      <c r="B64" s="137"/>
      <c r="C64" s="137"/>
      <c r="D64" s="137"/>
      <c r="F64" s="88">
        <v>3</v>
      </c>
      <c r="G64" s="49">
        <f>IF(B64="Si",F64,0)</f>
        <v>0</v>
      </c>
    </row>
    <row r="65" spans="1:7" s="22" customFormat="1" ht="31.5" x14ac:dyDescent="0.25">
      <c r="A65" s="69" t="s">
        <v>104</v>
      </c>
      <c r="B65" s="134"/>
      <c r="C65" s="134"/>
      <c r="D65" s="134"/>
      <c r="F65" s="88">
        <v>5</v>
      </c>
      <c r="G65" s="89">
        <f>IF(B65="Si",F65,0)</f>
        <v>0</v>
      </c>
    </row>
    <row r="66" spans="1:7" s="22" customFormat="1" ht="15.75" hidden="1" x14ac:dyDescent="0.25">
      <c r="A66" s="87" t="s">
        <v>158</v>
      </c>
      <c r="B66" s="135"/>
      <c r="C66" s="136"/>
      <c r="D66" s="136"/>
      <c r="F66" s="88">
        <v>5</v>
      </c>
      <c r="G66" s="89">
        <f>IFERROR(VLOOKUP(B66,Criterios!T14:U16,2,FALSE),0)</f>
        <v>0</v>
      </c>
    </row>
    <row r="67" spans="1:7" ht="15.6" customHeight="1" x14ac:dyDescent="0.25">
      <c r="A67" s="131"/>
      <c r="B67" s="131"/>
      <c r="C67" s="131"/>
      <c r="D67" s="131"/>
    </row>
    <row r="68" spans="1:7" ht="15.75" x14ac:dyDescent="0.25">
      <c r="A68" s="130" t="s">
        <v>105</v>
      </c>
      <c r="B68" s="130"/>
      <c r="C68" s="130"/>
      <c r="D68" s="130"/>
    </row>
    <row r="69" spans="1:7" ht="47.25" x14ac:dyDescent="0.25">
      <c r="A69" s="65" t="s">
        <v>46</v>
      </c>
      <c r="B69" s="84" t="s">
        <v>2</v>
      </c>
      <c r="C69" s="99" t="s">
        <v>5</v>
      </c>
      <c r="D69" s="31" t="s">
        <v>4</v>
      </c>
      <c r="F69" s="99" t="s">
        <v>3</v>
      </c>
      <c r="G69" s="84" t="s">
        <v>6</v>
      </c>
    </row>
    <row r="70" spans="1:7" x14ac:dyDescent="0.25">
      <c r="A70" s="30" t="s">
        <v>16</v>
      </c>
      <c r="B70" s="9" t="str">
        <f>IFERROR(VLOOKUP($B$3,Criterios!$B$22:$N$35,3,FALSE),"")</f>
        <v/>
      </c>
      <c r="C70" s="37"/>
      <c r="D70" s="32" t="str">
        <f>IFERROR(IF($B$3&lt;&gt;"",IF($C70&lt;&gt;"",1-($C70/$B70),"Sin informar el importe ofertado"),"Indique el nº de lote"),"")</f>
        <v>Indique el nº de lote</v>
      </c>
      <c r="F70" s="50">
        <v>38</v>
      </c>
      <c r="G70" s="49">
        <f>IFERROR(ROUND((POWER($D70,0.5))*$F70,2),0)</f>
        <v>0</v>
      </c>
    </row>
    <row r="71" spans="1:7" hidden="1" x14ac:dyDescent="0.25">
      <c r="A71" s="30" t="s">
        <v>37</v>
      </c>
      <c r="B71" s="9" t="str">
        <f>IFERROR(VLOOKUP($B$3,Criterios!$B$30:$N$35,4,FALSE),"")</f>
        <v/>
      </c>
      <c r="C71" s="37"/>
      <c r="D71" s="32" t="str">
        <f>IFERROR(IF($B$3&lt;&gt;"",IF($C71&lt;&gt;"",1-($C71/$B71),"Sin informar el importe ofertado"),"Indique el nº de lote"),"")</f>
        <v>Indique el nº de lote</v>
      </c>
      <c r="F71" s="50">
        <v>17</v>
      </c>
      <c r="G71" s="49">
        <f>IFERROR(ROUND((POWER($D71,0.5))*$F71,2),0)</f>
        <v>0</v>
      </c>
    </row>
    <row r="72" spans="1:7" hidden="1" x14ac:dyDescent="0.25">
      <c r="A72" s="62" t="s">
        <v>170</v>
      </c>
      <c r="B72" s="9" t="str">
        <f>IFERROR(VLOOKUP($B$3,Criterios!$B$30:$N$35,5,FALSE),"")</f>
        <v/>
      </c>
      <c r="C72" s="37"/>
      <c r="D72" s="32" t="str">
        <f>IFERROR(IF($B$3&lt;&gt;"",IF($C72&lt;&gt;"",1-($C72/$B72),"Sin informar el importe ofertado"),"Indique el nº de lote"),"")</f>
        <v>Indique el nº de lote</v>
      </c>
      <c r="F72" s="50">
        <v>25</v>
      </c>
      <c r="G72" s="49">
        <f>IFERROR(ROUND((POWER($D72,0.5))*$F72,2),0)</f>
        <v>0</v>
      </c>
    </row>
    <row r="73" spans="1:7" ht="47.25" x14ac:dyDescent="0.25">
      <c r="A73" s="68" t="s">
        <v>47</v>
      </c>
      <c r="B73" s="73" t="s">
        <v>2</v>
      </c>
      <c r="C73" s="83" t="s">
        <v>5</v>
      </c>
      <c r="D73" s="75" t="s">
        <v>4</v>
      </c>
      <c r="F73" s="19" t="s">
        <v>3</v>
      </c>
      <c r="G73" s="84" t="s">
        <v>6</v>
      </c>
    </row>
    <row r="74" spans="1:7" ht="15" hidden="1" customHeight="1" x14ac:dyDescent="0.25">
      <c r="A74" s="30" t="s">
        <v>38</v>
      </c>
      <c r="B74" s="9" t="str">
        <f>IFERROR(VLOOKUP($B$3,Criterios!$B$30:$N$35,6,FALSE),"")</f>
        <v/>
      </c>
      <c r="C74" s="34"/>
      <c r="D74" s="32" t="str">
        <f>IFERROR(IF($B51="Si",IF($C74&lt;&gt;"",1-($C74/$B74),"Sin informar el importe ofertado"),"No ha indicado disponibilidad"),"")</f>
        <v>No ha indicado disponibilidad</v>
      </c>
      <c r="F74" s="50">
        <v>4</v>
      </c>
      <c r="G74" s="49">
        <f>IF($B51="Si",IFERROR(ROUND((POWER($D74,0.5))*$F74,2),0),0)</f>
        <v>0</v>
      </c>
    </row>
    <row r="75" spans="1:7" hidden="1" x14ac:dyDescent="0.25">
      <c r="A75" s="62" t="s">
        <v>49</v>
      </c>
      <c r="B75" s="9" t="str">
        <f>IFERROR(VLOOKUP($B$3,Criterios!$B$30:$N$35,10,FALSE),"")</f>
        <v/>
      </c>
      <c r="C75" s="37"/>
      <c r="D75" s="96" t="str">
        <f>IFERROR(IF($B52="Si",IF($C75&lt;&gt;"",1-($C75/$B75),"Sin informar el importe ofertado"),"No ha indicado disponibilidad"),"")</f>
        <v>No ha indicado disponibilidad</v>
      </c>
      <c r="F75" s="50"/>
      <c r="G75" s="49">
        <f>IFERROR(ROUND((POWER(#REF!,0.5))*$C75,2),0)</f>
        <v>0</v>
      </c>
    </row>
    <row r="76" spans="1:7" ht="30" hidden="1" x14ac:dyDescent="0.25">
      <c r="A76" s="62" t="s">
        <v>48</v>
      </c>
      <c r="B76" s="9" t="str">
        <f>IFERROR(VLOOKUP($B$3,Criterios!$B$30:$N$35,11,FALSE),"")</f>
        <v/>
      </c>
      <c r="C76" s="37"/>
      <c r="D76" s="96" t="str">
        <f>IFERROR(IF($B53="Si",IF($C76&lt;&gt;"",1-($C76/$B76),"Sin informar el importe ofertado"),"No ha indicado disponibilidad"),"")</f>
        <v>No ha indicado disponibilidad</v>
      </c>
      <c r="F76" s="50"/>
      <c r="G76" s="49">
        <f>IFERROR(ROUND((POWER(#REF!,0.5))*$C76,2),0)</f>
        <v>0</v>
      </c>
    </row>
    <row r="77" spans="1:7" s="22" customFormat="1" ht="15" customHeight="1" x14ac:dyDescent="0.25">
      <c r="A77" s="58" t="s">
        <v>42</v>
      </c>
      <c r="B77" s="9" t="str">
        <f>IFERROR(VLOOKUP($B$3,Criterios!$B$22:$N$35,7,FALSE),"")</f>
        <v/>
      </c>
      <c r="C77" s="59"/>
      <c r="D77" s="60" t="str">
        <f>IFERROR(IF($B$54&lt;&gt;"",IF($C77&lt;&gt;"",1-($C77/$B77),"Sin informar el importe ofertado"),"No ha indicado disponibilidad"),"")</f>
        <v>No ha indicado disponibilidad</v>
      </c>
      <c r="F77" s="50">
        <v>2</v>
      </c>
      <c r="G77" s="49">
        <f>IF($B$54&lt;&gt;"No",IFERROR(ROUND((POWER($D77,0.5))*$F77,2),0),0)</f>
        <v>0</v>
      </c>
    </row>
    <row r="78" spans="1:7" s="22" customFormat="1" ht="15" customHeight="1" x14ac:dyDescent="0.25">
      <c r="A78" s="58" t="s">
        <v>41</v>
      </c>
      <c r="B78" s="9" t="str">
        <f>IFERROR(VLOOKUP($B$3,Criterios!$B$22:$N$35,8,FALSE),"")</f>
        <v/>
      </c>
      <c r="C78" s="59"/>
      <c r="D78" s="60" t="str">
        <f>IFERROR(IF($B$54&lt;&gt;"",IF($C78&lt;&gt;"",1-($C78/$B78),"Sin informar el importe ofertado"),"No ha indicado disponibilidad"),"")</f>
        <v>No ha indicado disponibilidad</v>
      </c>
      <c r="F78" s="50">
        <v>5</v>
      </c>
      <c r="G78" s="49">
        <f>IF($B$54&lt;&gt;"No",IFERROR(ROUND((POWER($D78,0.5))*$F78,2),0),0)</f>
        <v>0</v>
      </c>
    </row>
    <row r="79" spans="1:7" ht="15" customHeight="1" x14ac:dyDescent="0.25">
      <c r="A79" s="30" t="s">
        <v>45</v>
      </c>
      <c r="B79" s="9" t="str">
        <f>IFERROR(VLOOKUP($B$3,Criterios!$B$22:$N$35,9,FALSE),"")</f>
        <v/>
      </c>
      <c r="C79" s="34"/>
      <c r="D79" s="32" t="str">
        <f>IFERROR(IF($B55="Si",IF($C79&lt;&gt;"",1-($C79/$B79),"Sin informar el importe ofertado"),"No ha indicado disponibilidad"),"")</f>
        <v>No ha indicado disponibilidad</v>
      </c>
      <c r="F79" s="50">
        <v>4</v>
      </c>
      <c r="G79" s="49">
        <f>IF($B55="Si",IFERROR(ROUND((POWER($D79,0.5))*$F79,2),0),0)</f>
        <v>0</v>
      </c>
    </row>
    <row r="80" spans="1:7" ht="13.15" customHeight="1" x14ac:dyDescent="0.25">
      <c r="A80" s="68" t="s">
        <v>162</v>
      </c>
      <c r="B80" s="73" t="s">
        <v>163</v>
      </c>
      <c r="C80" s="2"/>
      <c r="D80" s="38"/>
      <c r="E80" s="5"/>
      <c r="F80" s="10"/>
      <c r="G80" s="4">
        <f>SUM(G38:G79)</f>
        <v>0</v>
      </c>
    </row>
    <row r="81" spans="1:4" x14ac:dyDescent="0.25">
      <c r="A81" s="30" t="s">
        <v>164</v>
      </c>
      <c r="B81" s="78"/>
    </row>
    <row r="82" spans="1:4" s="15" customFormat="1" x14ac:dyDescent="0.25">
      <c r="A82" s="58" t="s">
        <v>165</v>
      </c>
      <c r="B82" s="79"/>
      <c r="C82" s="2"/>
      <c r="D82" s="38"/>
    </row>
    <row r="83" spans="1:4" x14ac:dyDescent="0.25">
      <c r="A83" s="58" t="s">
        <v>166</v>
      </c>
      <c r="B83" s="79"/>
      <c r="C83" s="17"/>
      <c r="D83" s="17"/>
    </row>
  </sheetData>
  <sheetProtection algorithmName="SHA-512" hashValue="k3sZOYr/OGJDyMh2kH5m+FVAH5LzooZ5izGE0pfo/8xuS4dG9Gv3poA/wPIddQnEiztlv3b+29HDjTt4GRF9pQ==" saltValue="qCSdls4NBQosiCrcH0Iacw==" spinCount="100000" sheet="1" objects="1" scenarios="1"/>
  <mergeCells count="38">
    <mergeCell ref="B6:D6"/>
    <mergeCell ref="A1:D1"/>
    <mergeCell ref="A2:D2"/>
    <mergeCell ref="B3:D3"/>
    <mergeCell ref="B4:D4"/>
    <mergeCell ref="B5:D5"/>
    <mergeCell ref="B21:D21"/>
    <mergeCell ref="B7:D7"/>
    <mergeCell ref="A9:D9"/>
    <mergeCell ref="B10:D10"/>
    <mergeCell ref="B11:D11"/>
    <mergeCell ref="A12:D12"/>
    <mergeCell ref="A13:D13"/>
    <mergeCell ref="B14:D14"/>
    <mergeCell ref="B15:D15"/>
    <mergeCell ref="B18:D18"/>
    <mergeCell ref="B19:D19"/>
    <mergeCell ref="B20:D20"/>
    <mergeCell ref="A36:D36"/>
    <mergeCell ref="A22:D22"/>
    <mergeCell ref="B23:D23"/>
    <mergeCell ref="B24:D24"/>
    <mergeCell ref="B25:D25"/>
    <mergeCell ref="A26:D26"/>
    <mergeCell ref="B27:D27"/>
    <mergeCell ref="B28:D28"/>
    <mergeCell ref="B29:D29"/>
    <mergeCell ref="A30:D30"/>
    <mergeCell ref="A31:D31"/>
    <mergeCell ref="A35:D35"/>
    <mergeCell ref="A67:D67"/>
    <mergeCell ref="A68:D68"/>
    <mergeCell ref="A46:D46"/>
    <mergeCell ref="A62:D62"/>
    <mergeCell ref="B63:D63"/>
    <mergeCell ref="B64:D64"/>
    <mergeCell ref="B65:D65"/>
    <mergeCell ref="B66:D66"/>
  </mergeCells>
  <conditionalFormatting sqref="C38:C39">
    <cfRule type="expression" dxfId="26" priority="9">
      <formula>AND(B38="Si",C38="")</formula>
    </cfRule>
  </conditionalFormatting>
  <conditionalFormatting sqref="D38:D39">
    <cfRule type="expression" dxfId="25" priority="8">
      <formula>AND(B38="Si",D38="")</formula>
    </cfRule>
  </conditionalFormatting>
  <conditionalFormatting sqref="C48:C49">
    <cfRule type="expression" dxfId="24" priority="7">
      <formula>AND(B48="Si",C48="")</formula>
    </cfRule>
  </conditionalFormatting>
  <conditionalFormatting sqref="D48:D49">
    <cfRule type="expression" dxfId="23" priority="6">
      <formula>AND(B48="Si",D48="")</formula>
    </cfRule>
  </conditionalFormatting>
  <conditionalFormatting sqref="C51 C55">
    <cfRule type="expression" dxfId="22" priority="5">
      <formula>AND(B51="Si",C51="")</formula>
    </cfRule>
  </conditionalFormatting>
  <conditionalFormatting sqref="C54">
    <cfRule type="expression" dxfId="21" priority="4">
      <formula>AND(OR(B54="Convencional",B54="Digital"),C54="")</formula>
    </cfRule>
  </conditionalFormatting>
  <conditionalFormatting sqref="C70">
    <cfRule type="expression" dxfId="20" priority="3">
      <formula>$C$70=""</formula>
    </cfRule>
  </conditionalFormatting>
  <conditionalFormatting sqref="C71:C72">
    <cfRule type="expression" dxfId="19" priority="2">
      <formula>$C$70=""</formula>
    </cfRule>
  </conditionalFormatting>
  <conditionalFormatting sqref="C50">
    <cfRule type="expression" dxfId="18" priority="1">
      <formula>AND(B50="Si",C50="")</formula>
    </cfRule>
  </conditionalFormatting>
  <dataValidations count="2">
    <dataValidation type="custom" allowBlank="1" showInputMessage="1" showErrorMessage="1" sqref="C75:C76" xr:uid="{5210F354-C255-487A-86BF-574407CA45B0}">
      <formula1>AND(C75=MROUND(C75,0.1),C75&lt;=XEZ75)</formula1>
    </dataValidation>
    <dataValidation type="custom" allowBlank="1" showInputMessage="1" showErrorMessage="1" errorTitle="Validación dato introducido" error="El importe debe ser menor o igual al máximo de ese servicio y múltiplo de 0,1€" sqref="C70:C72 C74 C77:C79" xr:uid="{D94AB0D5-9A45-4314-9B8E-FC397B93CD86}">
      <formula1>AND(C70=MROUND(C70,0.1),C70&lt;=B70)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8EFB5CB-9E16-4C5B-A9BF-678B3C7E66E6}">
          <x14:formula1>
            <xm:f>Criterios!$B$8:$B$10</xm:f>
          </x14:formula1>
          <xm:sqref>B54</xm:sqref>
        </x14:dataValidation>
        <x14:dataValidation type="list" allowBlank="1" showInputMessage="1" showErrorMessage="1" xr:uid="{DE4D1898-5978-42F5-948F-1A11557B82A2}">
          <x14:formula1>
            <xm:f>Criterios!$Y$2:$Y$52</xm:f>
          </x14:formula1>
          <xm:sqref>D8</xm:sqref>
        </x14:dataValidation>
        <x14:dataValidation type="list" allowBlank="1" showInputMessage="1" showErrorMessage="1" xr:uid="{89B34398-B77A-45DE-979F-7A77F793D433}">
          <x14:formula1>
            <xm:f>Criterios!$T$14:$T$16</xm:f>
          </x14:formula1>
          <xm:sqref>B66:D66</xm:sqref>
        </x14:dataValidation>
        <x14:dataValidation type="list" allowBlank="1" showInputMessage="1" showErrorMessage="1" xr:uid="{0772EA53-6119-4157-8FB0-8A08F941DA07}">
          <x14:formula1>
            <xm:f>Criterios!$N$17:$N$18</xm:f>
          </x14:formula1>
          <xm:sqref>D39 D49</xm:sqref>
        </x14:dataValidation>
        <x14:dataValidation type="list" allowBlank="1" showInputMessage="1" showErrorMessage="1" xr:uid="{021763FE-7576-48F4-B1D5-0D22296AF74B}">
          <x14:formula1>
            <xm:f>Criterios!$N$13:$N$14</xm:f>
          </x14:formula1>
          <xm:sqref>D38 D48</xm:sqref>
        </x14:dataValidation>
        <x14:dataValidation type="list" allowBlank="1" showInputMessage="1" showErrorMessage="1" xr:uid="{B62D176E-84FE-4FF4-AE26-A93AD1A60EEE}">
          <x14:formula1>
            <xm:f>Criterios!$B$2:$B$3</xm:f>
          </x14:formula1>
          <xm:sqref>B42:B44 B64:D65 B57:B61 B32:B34 B55 B38:B40 B48:B53</xm:sqref>
        </x14:dataValidation>
        <x14:dataValidation type="list" allowBlank="1" showInputMessage="1" showErrorMessage="1" xr:uid="{B9B03B8B-1D44-42AE-AD8C-68FE158293BC}">
          <x14:formula1>
            <xm:f>Criterios!$K$2:$K$5</xm:f>
          </x14:formula1>
          <xm:sqref>B63:D63</xm:sqref>
        </x14:dataValidation>
        <x14:dataValidation type="list" allowBlank="1" showInputMessage="1" showErrorMessage="1" xr:uid="{3C46A02C-11A4-4EF8-93DB-4ECB33D965E8}">
          <x14:formula1>
            <xm:f>Criterios!$B$22</xm:f>
          </x14:formula1>
          <xm:sqref>B3:D3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53EB-906A-4002-9E05-229B876FAA3E}">
  <dimension ref="A1:G83"/>
  <sheetViews>
    <sheetView workbookViewId="0">
      <selection activeCell="E1" sqref="E1"/>
    </sheetView>
  </sheetViews>
  <sheetFormatPr baseColWidth="10" defaultRowHeight="15" x14ac:dyDescent="0.25"/>
  <cols>
    <col min="1" max="1" width="51.7109375" customWidth="1"/>
    <col min="2" max="2" width="18.7109375" customWidth="1"/>
    <col min="3" max="3" width="19.85546875" bestFit="1" customWidth="1"/>
    <col min="4" max="4" width="27.7109375" bestFit="1" customWidth="1"/>
    <col min="5" max="5" width="10.28515625" customWidth="1"/>
    <col min="6" max="6" width="17.85546875" hidden="1" customWidth="1"/>
    <col min="7" max="7" width="18.140625" hidden="1" customWidth="1"/>
  </cols>
  <sheetData>
    <row r="1" spans="1:4" ht="75.75" customHeight="1" x14ac:dyDescent="0.25">
      <c r="A1" s="142" t="s">
        <v>211</v>
      </c>
      <c r="B1" s="143"/>
      <c r="C1" s="143"/>
      <c r="D1" s="144"/>
    </row>
    <row r="2" spans="1:4" s="22" customFormat="1" ht="53.25" customHeight="1" x14ac:dyDescent="0.25">
      <c r="A2" s="140" t="s">
        <v>172</v>
      </c>
      <c r="B2" s="141"/>
      <c r="C2" s="141"/>
      <c r="D2" s="141"/>
    </row>
    <row r="3" spans="1:4" s="22" customFormat="1" ht="15" customHeight="1" x14ac:dyDescent="0.25">
      <c r="A3" s="65" t="s">
        <v>35</v>
      </c>
      <c r="B3" s="138"/>
      <c r="C3" s="138"/>
      <c r="D3" s="138"/>
    </row>
    <row r="4" spans="1:4" s="22" customFormat="1" ht="15" customHeight="1" x14ac:dyDescent="0.25">
      <c r="A4" s="65" t="s">
        <v>36</v>
      </c>
      <c r="B4" s="139" t="str">
        <f>IFERROR(VLOOKUP(B3,Criterios!B22:N35,2,FALSE),"")</f>
        <v/>
      </c>
      <c r="C4" s="139"/>
      <c r="D4" s="139"/>
    </row>
    <row r="5" spans="1:4" s="22" customFormat="1" ht="15" customHeight="1" x14ac:dyDescent="0.25">
      <c r="A5" s="65" t="s">
        <v>53</v>
      </c>
      <c r="B5" s="111"/>
      <c r="C5" s="111"/>
      <c r="D5" s="111"/>
    </row>
    <row r="6" spans="1:4" s="22" customFormat="1" ht="15" customHeight="1" x14ac:dyDescent="0.25">
      <c r="A6" s="65" t="s">
        <v>0</v>
      </c>
      <c r="B6" s="111"/>
      <c r="C6" s="111"/>
      <c r="D6" s="111"/>
    </row>
    <row r="7" spans="1:4" s="22" customFormat="1" ht="15" customHeight="1" x14ac:dyDescent="0.25">
      <c r="A7" s="65" t="s">
        <v>61</v>
      </c>
      <c r="B7" s="111"/>
      <c r="C7" s="111"/>
      <c r="D7" s="111"/>
    </row>
    <row r="8" spans="1:4" s="22" customFormat="1" ht="15" customHeight="1" x14ac:dyDescent="0.25">
      <c r="A8" s="65" t="s">
        <v>1</v>
      </c>
      <c r="B8" s="52"/>
      <c r="C8" s="65" t="s">
        <v>56</v>
      </c>
      <c r="D8" s="53"/>
    </row>
    <row r="9" spans="1:4" s="22" customFormat="1" ht="15" customHeight="1" x14ac:dyDescent="0.25">
      <c r="A9" s="112" t="s">
        <v>91</v>
      </c>
      <c r="B9" s="112"/>
      <c r="C9" s="112"/>
      <c r="D9" s="112"/>
    </row>
    <row r="10" spans="1:4" s="22" customFormat="1" ht="15" customHeight="1" x14ac:dyDescent="0.25">
      <c r="A10" s="65" t="s">
        <v>92</v>
      </c>
      <c r="B10" s="121"/>
      <c r="C10" s="122"/>
      <c r="D10" s="123"/>
    </row>
    <row r="11" spans="1:4" s="22" customFormat="1" ht="15" customHeight="1" x14ac:dyDescent="0.25">
      <c r="A11" s="21" t="s">
        <v>93</v>
      </c>
      <c r="B11" s="124"/>
      <c r="C11" s="125"/>
      <c r="D11" s="126"/>
    </row>
    <row r="12" spans="1:4" s="22" customFormat="1" ht="48" customHeight="1" x14ac:dyDescent="0.25">
      <c r="A12" s="127" t="str">
        <f>IF(B11&lt;&gt;"",CONCATENATE("Don/Dña. ",B10, ", con DNI nº ",B11,", en nombre propio/en representación de la empresa ",B5,", con domicilio social en ",B7," y con CIF nº ",B6,", declara que adscribirá a la ejecución del servicio los siguientes centros y equipos:"),"")</f>
        <v/>
      </c>
      <c r="B12" s="128"/>
      <c r="C12" s="128"/>
      <c r="D12" s="129"/>
    </row>
    <row r="13" spans="1:4" s="22" customFormat="1" ht="15" customHeight="1" x14ac:dyDescent="0.25">
      <c r="A13" s="117" t="s">
        <v>62</v>
      </c>
      <c r="B13" s="118"/>
      <c r="C13" s="118"/>
      <c r="D13" s="119"/>
    </row>
    <row r="14" spans="1:4" s="22" customFormat="1" ht="15" customHeight="1" x14ac:dyDescent="0.25">
      <c r="A14" s="65" t="s">
        <v>54</v>
      </c>
      <c r="B14" s="121"/>
      <c r="C14" s="122"/>
      <c r="D14" s="123"/>
    </row>
    <row r="15" spans="1:4" s="22" customFormat="1" ht="15" customHeight="1" x14ac:dyDescent="0.25">
      <c r="A15" s="65" t="s">
        <v>55</v>
      </c>
      <c r="B15" s="121"/>
      <c r="C15" s="122"/>
      <c r="D15" s="123"/>
    </row>
    <row r="16" spans="1:4" s="22" customFormat="1" ht="15" customHeight="1" x14ac:dyDescent="0.25">
      <c r="A16" s="65" t="s">
        <v>1</v>
      </c>
      <c r="B16" s="54"/>
      <c r="C16" s="65" t="s">
        <v>56</v>
      </c>
      <c r="D16" s="82" t="str">
        <f>IFERROR(VLOOKUP(B3,Criterios!B22:N35,13,FALSE),"Elija nº de lote")</f>
        <v>Elija nº de lote</v>
      </c>
    </row>
    <row r="17" spans="1:7" s="22" customFormat="1" ht="15" customHeight="1" x14ac:dyDescent="0.25">
      <c r="A17" s="65" t="s">
        <v>57</v>
      </c>
      <c r="B17" s="53"/>
      <c r="C17" s="65" t="s">
        <v>60</v>
      </c>
      <c r="D17" s="53"/>
    </row>
    <row r="18" spans="1:7" s="22" customFormat="1" ht="15" customHeight="1" x14ac:dyDescent="0.25">
      <c r="A18" s="65" t="s">
        <v>58</v>
      </c>
      <c r="B18" s="111"/>
      <c r="C18" s="111"/>
      <c r="D18" s="111"/>
    </row>
    <row r="19" spans="1:7" s="22" customFormat="1" ht="15" customHeight="1" x14ac:dyDescent="0.25">
      <c r="A19" s="65" t="s">
        <v>59</v>
      </c>
      <c r="B19" s="111"/>
      <c r="C19" s="111"/>
      <c r="D19" s="111"/>
      <c r="F19" s="48"/>
      <c r="G19" s="48"/>
    </row>
    <row r="20" spans="1:7" s="22" customFormat="1" ht="15" customHeight="1" x14ac:dyDescent="0.25">
      <c r="A20" s="65" t="s">
        <v>63</v>
      </c>
      <c r="B20" s="111"/>
      <c r="C20" s="111"/>
      <c r="D20" s="111"/>
    </row>
    <row r="21" spans="1:7" s="22" customFormat="1" ht="15" customHeight="1" x14ac:dyDescent="0.25">
      <c r="A21" s="65" t="s">
        <v>64</v>
      </c>
      <c r="B21" s="111"/>
      <c r="C21" s="111"/>
      <c r="D21" s="111"/>
    </row>
    <row r="22" spans="1:7" s="22" customFormat="1" ht="17.45" customHeight="1" x14ac:dyDescent="0.25">
      <c r="A22" s="113" t="s">
        <v>84</v>
      </c>
      <c r="B22" s="114"/>
      <c r="C22" s="114"/>
      <c r="D22" s="120"/>
    </row>
    <row r="23" spans="1:7" s="22" customFormat="1" ht="15" customHeight="1" x14ac:dyDescent="0.25">
      <c r="A23" s="65" t="s">
        <v>83</v>
      </c>
      <c r="B23" s="111"/>
      <c r="C23" s="111"/>
      <c r="D23" s="111"/>
    </row>
    <row r="24" spans="1:7" s="22" customFormat="1" ht="15" customHeight="1" x14ac:dyDescent="0.25">
      <c r="A24" s="65" t="s">
        <v>63</v>
      </c>
      <c r="B24" s="111"/>
      <c r="C24" s="111"/>
      <c r="D24" s="111"/>
    </row>
    <row r="25" spans="1:7" s="22" customFormat="1" ht="15" customHeight="1" x14ac:dyDescent="0.25">
      <c r="A25" s="65" t="s">
        <v>57</v>
      </c>
      <c r="B25" s="111"/>
      <c r="C25" s="111"/>
      <c r="D25" s="111"/>
    </row>
    <row r="26" spans="1:7" s="22" customFormat="1" ht="15" customHeight="1" x14ac:dyDescent="0.25">
      <c r="A26" s="113" t="s">
        <v>85</v>
      </c>
      <c r="B26" s="114"/>
      <c r="C26" s="114"/>
      <c r="D26" s="120"/>
    </row>
    <row r="27" spans="1:7" s="22" customFormat="1" ht="15" customHeight="1" x14ac:dyDescent="0.25">
      <c r="A27" s="65" t="s">
        <v>83</v>
      </c>
      <c r="B27" s="111"/>
      <c r="C27" s="111"/>
      <c r="D27" s="111"/>
    </row>
    <row r="28" spans="1:7" s="22" customFormat="1" ht="15" customHeight="1" x14ac:dyDescent="0.25">
      <c r="A28" s="65" t="s">
        <v>63</v>
      </c>
      <c r="B28" s="111"/>
      <c r="C28" s="111"/>
      <c r="D28" s="111"/>
    </row>
    <row r="29" spans="1:7" s="22" customFormat="1" ht="15" customHeight="1" x14ac:dyDescent="0.25">
      <c r="A29" s="65" t="s">
        <v>57</v>
      </c>
      <c r="B29" s="111"/>
      <c r="C29" s="111"/>
      <c r="D29" s="111"/>
    </row>
    <row r="30" spans="1:7" s="22" customFormat="1" ht="15" customHeight="1" x14ac:dyDescent="0.25">
      <c r="A30" s="132" t="s">
        <v>171</v>
      </c>
      <c r="B30" s="133"/>
      <c r="C30" s="133"/>
      <c r="D30" s="133"/>
    </row>
    <row r="31" spans="1:7" ht="15.75" x14ac:dyDescent="0.25">
      <c r="A31" s="112" t="s">
        <v>94</v>
      </c>
      <c r="B31" s="112"/>
      <c r="C31" s="112"/>
      <c r="D31" s="112"/>
    </row>
    <row r="32" spans="1:7" ht="15.75" x14ac:dyDescent="0.25">
      <c r="A32" s="43" t="s">
        <v>65</v>
      </c>
      <c r="B32" s="76"/>
      <c r="C32" s="77"/>
      <c r="D32" s="77"/>
    </row>
    <row r="33" spans="1:7" ht="15.75" x14ac:dyDescent="0.25">
      <c r="A33" s="65" t="s">
        <v>66</v>
      </c>
      <c r="B33" s="98"/>
      <c r="C33" s="77"/>
      <c r="D33" s="77"/>
    </row>
    <row r="34" spans="1:7" ht="15.75" x14ac:dyDescent="0.25">
      <c r="A34" s="65" t="s">
        <v>67</v>
      </c>
      <c r="B34" s="98"/>
      <c r="C34" s="77"/>
      <c r="D34" s="77"/>
    </row>
    <row r="35" spans="1:7" ht="15.75" x14ac:dyDescent="0.25">
      <c r="A35" s="113"/>
      <c r="B35" s="114"/>
      <c r="C35" s="115"/>
      <c r="D35" s="116"/>
      <c r="E35" s="48"/>
      <c r="F35" s="48"/>
      <c r="G35" s="48"/>
    </row>
    <row r="36" spans="1:7" ht="15.75" x14ac:dyDescent="0.25">
      <c r="A36" s="117" t="s">
        <v>96</v>
      </c>
      <c r="B36" s="118"/>
      <c r="C36" s="118"/>
      <c r="D36" s="119"/>
      <c r="E36" s="17"/>
      <c r="F36" s="17"/>
      <c r="G36" s="17"/>
    </row>
    <row r="37" spans="1:7" ht="21.6" customHeight="1" x14ac:dyDescent="0.25">
      <c r="A37" s="43" t="s">
        <v>97</v>
      </c>
      <c r="B37" s="102" t="s">
        <v>69</v>
      </c>
      <c r="C37" s="102" t="s">
        <v>70</v>
      </c>
      <c r="D37" s="102" t="s">
        <v>95</v>
      </c>
      <c r="F37" s="99" t="s">
        <v>3</v>
      </c>
      <c r="G37" s="84" t="s">
        <v>100</v>
      </c>
    </row>
    <row r="38" spans="1:7" ht="15.75" hidden="1" x14ac:dyDescent="0.25">
      <c r="A38" s="65" t="s">
        <v>68</v>
      </c>
      <c r="B38" s="101"/>
      <c r="C38" s="80"/>
      <c r="D38" s="101"/>
      <c r="F38" s="49"/>
      <c r="G38" s="49">
        <f>IFERROR(IF($B38="Si",VLOOKUP($D38,Criterios!$N$13:$O$14,2,FALSE),0),0)</f>
        <v>0</v>
      </c>
    </row>
    <row r="39" spans="1:7" ht="15.75" x14ac:dyDescent="0.25">
      <c r="A39" s="65" t="s">
        <v>72</v>
      </c>
      <c r="B39" s="101"/>
      <c r="C39" s="80"/>
      <c r="D39" s="101"/>
      <c r="F39" s="49">
        <v>13</v>
      </c>
      <c r="G39" s="49">
        <f>IFERROR(IF($B39="Si",VLOOKUP($D39,Criterios!$N$17:$O$18,2,FALSE),0),0)</f>
        <v>0</v>
      </c>
    </row>
    <row r="40" spans="1:7" ht="15.75" hidden="1" x14ac:dyDescent="0.25">
      <c r="A40" s="44" t="s">
        <v>169</v>
      </c>
      <c r="B40" s="101"/>
      <c r="C40" s="101"/>
      <c r="D40" s="42"/>
      <c r="F40" s="1"/>
      <c r="G40" s="1"/>
    </row>
    <row r="41" spans="1:7" ht="15.75" hidden="1" x14ac:dyDescent="0.25">
      <c r="A41" s="44" t="s">
        <v>99</v>
      </c>
      <c r="B41" s="44" t="s">
        <v>69</v>
      </c>
      <c r="C41" s="55"/>
      <c r="D41" s="55"/>
    </row>
    <row r="42" spans="1:7" ht="15.75" hidden="1" x14ac:dyDescent="0.25">
      <c r="A42" s="44" t="s">
        <v>90</v>
      </c>
      <c r="B42" s="101"/>
      <c r="C42" s="55"/>
      <c r="D42" s="55"/>
    </row>
    <row r="43" spans="1:7" ht="15.75" hidden="1" x14ac:dyDescent="0.25">
      <c r="A43" s="44" t="s">
        <v>87</v>
      </c>
      <c r="B43" s="101"/>
      <c r="C43" s="55"/>
      <c r="D43" s="55"/>
    </row>
    <row r="44" spans="1:7" ht="15.75" hidden="1" x14ac:dyDescent="0.25">
      <c r="A44" s="44" t="s">
        <v>88</v>
      </c>
      <c r="B44" s="101"/>
      <c r="C44" s="55"/>
      <c r="D44" s="55"/>
    </row>
    <row r="45" spans="1:7" s="57" customFormat="1" ht="15.75" x14ac:dyDescent="0.25">
      <c r="A45" s="56"/>
    </row>
    <row r="46" spans="1:7" ht="15.75" x14ac:dyDescent="0.25">
      <c r="A46" s="108" t="s">
        <v>98</v>
      </c>
      <c r="B46" s="109"/>
      <c r="C46" s="109"/>
      <c r="D46" s="110"/>
    </row>
    <row r="47" spans="1:7" ht="16.149999999999999" customHeight="1" x14ac:dyDescent="0.25">
      <c r="A47" s="100" t="s">
        <v>97</v>
      </c>
      <c r="B47" s="67" t="s">
        <v>69</v>
      </c>
      <c r="C47" s="67" t="s">
        <v>70</v>
      </c>
      <c r="D47" s="67" t="s">
        <v>95</v>
      </c>
      <c r="F47" s="99" t="s">
        <v>3</v>
      </c>
      <c r="G47" s="84" t="s">
        <v>6</v>
      </c>
    </row>
    <row r="48" spans="1:7" ht="15.75" hidden="1" x14ac:dyDescent="0.25">
      <c r="A48" s="68" t="s">
        <v>71</v>
      </c>
      <c r="B48" s="101"/>
      <c r="C48" s="80"/>
      <c r="D48" s="101"/>
      <c r="F48" s="49">
        <v>5</v>
      </c>
      <c r="G48" s="49">
        <f>IF(B48="Si",5,0)</f>
        <v>0</v>
      </c>
    </row>
    <row r="49" spans="1:7" ht="15.75" x14ac:dyDescent="0.25">
      <c r="A49" s="68" t="s">
        <v>73</v>
      </c>
      <c r="B49" s="101"/>
      <c r="C49" s="80"/>
      <c r="D49" s="101"/>
      <c r="F49" s="49">
        <v>12</v>
      </c>
      <c r="G49" s="49">
        <f>IF(B49="Si",F49,0)</f>
        <v>0</v>
      </c>
    </row>
    <row r="50" spans="1:7" ht="15.75" hidden="1" x14ac:dyDescent="0.25">
      <c r="A50" s="71" t="s">
        <v>159</v>
      </c>
      <c r="B50" s="101"/>
      <c r="C50" s="80"/>
      <c r="D50" s="42"/>
      <c r="F50" s="95"/>
      <c r="G50" s="95"/>
    </row>
    <row r="51" spans="1:7" ht="15.75" x14ac:dyDescent="0.25">
      <c r="A51" s="71" t="s">
        <v>74</v>
      </c>
      <c r="B51" s="101"/>
      <c r="C51" s="93"/>
      <c r="D51" s="55"/>
      <c r="F51" s="49">
        <v>9</v>
      </c>
      <c r="G51" s="49">
        <f>IF($B51="Si",F51,0)</f>
        <v>0</v>
      </c>
    </row>
    <row r="52" spans="1:7" ht="15.75" hidden="1" x14ac:dyDescent="0.25">
      <c r="A52" s="71" t="s">
        <v>160</v>
      </c>
      <c r="B52" s="101"/>
      <c r="C52" s="81"/>
      <c r="D52" s="42"/>
      <c r="F52" s="95"/>
      <c r="G52" s="95"/>
    </row>
    <row r="53" spans="1:7" ht="15.75" hidden="1" x14ac:dyDescent="0.25">
      <c r="A53" s="71" t="s">
        <v>161</v>
      </c>
      <c r="B53" s="101"/>
      <c r="C53" s="81"/>
      <c r="D53" s="42"/>
      <c r="F53" s="95"/>
      <c r="G53" s="95"/>
    </row>
    <row r="54" spans="1:7" ht="15.75" x14ac:dyDescent="0.25">
      <c r="A54" s="68" t="s">
        <v>76</v>
      </c>
      <c r="B54" s="101"/>
      <c r="C54" s="80"/>
      <c r="D54" s="55"/>
      <c r="F54" s="49" t="s">
        <v>214</v>
      </c>
      <c r="G54" s="49">
        <f>IFERROR(VLOOKUP(B54,Criterios!$B$18:$C$20,2,FALSE),0)</f>
        <v>0</v>
      </c>
    </row>
    <row r="55" spans="1:7" ht="15.75" x14ac:dyDescent="0.25">
      <c r="A55" s="69" t="s">
        <v>75</v>
      </c>
      <c r="B55" s="101"/>
      <c r="C55" s="80"/>
      <c r="D55" s="55"/>
      <c r="F55" s="49">
        <v>4</v>
      </c>
      <c r="G55" s="49">
        <f>IF($B55="Si",F55,0)</f>
        <v>0</v>
      </c>
    </row>
    <row r="56" spans="1:7" ht="15.75" x14ac:dyDescent="0.25">
      <c r="A56" s="70" t="s">
        <v>99</v>
      </c>
      <c r="B56" s="67" t="s">
        <v>69</v>
      </c>
      <c r="C56" s="55"/>
      <c r="D56" s="55"/>
      <c r="F56" s="22"/>
      <c r="G56" s="22"/>
    </row>
    <row r="57" spans="1:7" ht="15.75" x14ac:dyDescent="0.25">
      <c r="A57" s="71" t="s">
        <v>86</v>
      </c>
      <c r="B57" s="101"/>
      <c r="C57" s="55"/>
      <c r="D57" s="55"/>
    </row>
    <row r="58" spans="1:7" ht="15.75" hidden="1" x14ac:dyDescent="0.25">
      <c r="A58" s="71" t="s">
        <v>87</v>
      </c>
      <c r="B58" s="101"/>
      <c r="C58" s="55"/>
      <c r="D58" s="55"/>
    </row>
    <row r="59" spans="1:7" ht="15.75" hidden="1" x14ac:dyDescent="0.25">
      <c r="A59" s="71" t="s">
        <v>88</v>
      </c>
      <c r="B59" s="101"/>
      <c r="C59" s="55"/>
      <c r="D59" s="55"/>
    </row>
    <row r="60" spans="1:7" ht="15.75" x14ac:dyDescent="0.25">
      <c r="A60" s="72" t="s">
        <v>89</v>
      </c>
      <c r="B60" s="101"/>
      <c r="C60" s="55"/>
      <c r="D60" s="55"/>
    </row>
    <row r="61" spans="1:7" ht="15.75" hidden="1" x14ac:dyDescent="0.25">
      <c r="A61" s="72" t="s">
        <v>90</v>
      </c>
      <c r="B61" s="101"/>
      <c r="C61" s="55"/>
      <c r="D61" s="55"/>
    </row>
    <row r="62" spans="1:7" ht="18.600000000000001" customHeight="1" x14ac:dyDescent="0.25">
      <c r="A62" s="108" t="s">
        <v>167</v>
      </c>
      <c r="B62" s="109"/>
      <c r="C62" s="109"/>
      <c r="D62" s="110"/>
      <c r="F62" s="99" t="s">
        <v>3</v>
      </c>
      <c r="G62" s="99" t="s">
        <v>103</v>
      </c>
    </row>
    <row r="63" spans="1:7" s="22" customFormat="1" ht="15" customHeight="1" x14ac:dyDescent="0.25">
      <c r="A63" s="69" t="s">
        <v>102</v>
      </c>
      <c r="B63" s="137"/>
      <c r="C63" s="137"/>
      <c r="D63" s="137"/>
      <c r="F63" s="88" t="s">
        <v>210</v>
      </c>
      <c r="G63" s="49">
        <f>IFERROR(VLOOKUP(B63,Criterios!K2:L5,2,0),0)</f>
        <v>0</v>
      </c>
    </row>
    <row r="64" spans="1:7" s="22" customFormat="1" ht="16.149999999999999" customHeight="1" x14ac:dyDescent="0.25">
      <c r="A64" s="69" t="s">
        <v>101</v>
      </c>
      <c r="B64" s="137"/>
      <c r="C64" s="137"/>
      <c r="D64" s="137"/>
      <c r="F64" s="88">
        <v>3</v>
      </c>
      <c r="G64" s="49">
        <f>IF(B64="Si",F64,0)</f>
        <v>0</v>
      </c>
    </row>
    <row r="65" spans="1:7" s="22" customFormat="1" ht="31.5" hidden="1" x14ac:dyDescent="0.25">
      <c r="A65" s="69" t="s">
        <v>104</v>
      </c>
      <c r="B65" s="134"/>
      <c r="C65" s="134"/>
      <c r="D65" s="134"/>
      <c r="F65" s="88">
        <v>5</v>
      </c>
      <c r="G65" s="89">
        <f>IF(B65="Si",F65,0)</f>
        <v>0</v>
      </c>
    </row>
    <row r="66" spans="1:7" s="22" customFormat="1" ht="15.75" hidden="1" x14ac:dyDescent="0.25">
      <c r="A66" s="69" t="s">
        <v>158</v>
      </c>
      <c r="B66" s="135"/>
      <c r="C66" s="136"/>
      <c r="D66" s="136"/>
      <c r="F66" s="88">
        <v>5</v>
      </c>
      <c r="G66" s="89">
        <f>IFERROR(VLOOKUP(B66,Criterios!T14:U16,2,FALSE),0)</f>
        <v>0</v>
      </c>
    </row>
    <row r="67" spans="1:7" ht="15.6" customHeight="1" x14ac:dyDescent="0.25">
      <c r="A67" s="131"/>
      <c r="B67" s="131"/>
      <c r="C67" s="131"/>
      <c r="D67" s="131"/>
    </row>
    <row r="68" spans="1:7" ht="15.75" x14ac:dyDescent="0.25">
      <c r="A68" s="130" t="s">
        <v>105</v>
      </c>
      <c r="B68" s="130"/>
      <c r="C68" s="130"/>
      <c r="D68" s="130"/>
    </row>
    <row r="69" spans="1:7" ht="47.25" x14ac:dyDescent="0.25">
      <c r="A69" s="65" t="s">
        <v>46</v>
      </c>
      <c r="B69" s="84" t="s">
        <v>2</v>
      </c>
      <c r="C69" s="99" t="s">
        <v>5</v>
      </c>
      <c r="D69" s="31" t="s">
        <v>4</v>
      </c>
      <c r="F69" s="99" t="s">
        <v>3</v>
      </c>
      <c r="G69" s="84" t="s">
        <v>6</v>
      </c>
    </row>
    <row r="70" spans="1:7" hidden="1" x14ac:dyDescent="0.25">
      <c r="A70" s="30" t="s">
        <v>16</v>
      </c>
      <c r="B70" s="9" t="str">
        <f>IFERROR(VLOOKUP($B$3,Criterios!$B$30:$N$35,3,FALSE),"")</f>
        <v/>
      </c>
      <c r="C70" s="37"/>
      <c r="D70" s="32" t="str">
        <f>IFERROR(IF($B$3&lt;&gt;"",IF($C70&lt;&gt;"",1-($C70/$B70),"Sin informar el importe ofertado"),"Indique el nº de lote"),"")</f>
        <v>Indique el nº de lote</v>
      </c>
      <c r="F70" s="50">
        <v>17</v>
      </c>
      <c r="G70" s="49">
        <f>IFERROR(ROUND((POWER($D70,0.5))*$F70,2),0)</f>
        <v>0</v>
      </c>
    </row>
    <row r="71" spans="1:7" x14ac:dyDescent="0.25">
      <c r="A71" s="30" t="s">
        <v>37</v>
      </c>
      <c r="B71" s="9" t="str">
        <f>IFERROR(VLOOKUP($B$3,Criterios!B22:N35,4,FALSE),"")</f>
        <v/>
      </c>
      <c r="C71" s="37"/>
      <c r="D71" s="32" t="str">
        <f>IFERROR(IF($B$3&lt;&gt;"",IF($C71&lt;&gt;"",1-($C71/$B71),"Sin informar el importe ofertado"),"Indique el nº de lote"),"")</f>
        <v>Indique el nº de lote</v>
      </c>
      <c r="F71" s="50">
        <v>34</v>
      </c>
      <c r="G71" s="49">
        <f>IFERROR(ROUND((POWER($D71,0.5))*$F71,2),0)</f>
        <v>0</v>
      </c>
    </row>
    <row r="72" spans="1:7" hidden="1" x14ac:dyDescent="0.25">
      <c r="A72" s="58" t="s">
        <v>170</v>
      </c>
      <c r="B72" s="9" t="str">
        <f>IFERROR(VLOOKUP($B$3,Criterios!$B$22:$N$35,3,FALSE),"")</f>
        <v/>
      </c>
      <c r="C72" s="37"/>
      <c r="D72" s="32" t="str">
        <f>IFERROR(IF($B$3&lt;&gt;"",IF($C72&lt;&gt;"",1-($C72/$B72),"Sin informar el importe ofertado"),"Indique el nº de lote"),"")</f>
        <v>Indique el nº de lote</v>
      </c>
      <c r="F72" s="50">
        <v>25</v>
      </c>
      <c r="G72" s="49">
        <f>IFERROR(ROUND((POWER($D72,0.5))*$F72,2),0)</f>
        <v>0</v>
      </c>
    </row>
    <row r="73" spans="1:7" ht="47.25" x14ac:dyDescent="0.25">
      <c r="A73" s="68" t="s">
        <v>47</v>
      </c>
      <c r="B73" s="73" t="s">
        <v>2</v>
      </c>
      <c r="C73" s="83" t="s">
        <v>5</v>
      </c>
      <c r="D73" s="75" t="s">
        <v>4</v>
      </c>
      <c r="F73" s="19" t="s">
        <v>3</v>
      </c>
      <c r="G73" s="84" t="s">
        <v>6</v>
      </c>
    </row>
    <row r="74" spans="1:7" ht="15" customHeight="1" x14ac:dyDescent="0.25">
      <c r="A74" s="30" t="s">
        <v>38</v>
      </c>
      <c r="B74" s="9" t="str">
        <f>IFERROR(VLOOKUP($B$3,Criterios!$B$22:$N$35,6,FALSE),"")</f>
        <v/>
      </c>
      <c r="C74" s="34"/>
      <c r="D74" s="32" t="str">
        <f>IFERROR(IF($B51="Si",IF($C74&lt;&gt;"",1-($C74/$B74),"Sin informar el importe ofertado"),"No ha indicado disponibilidad"),"")</f>
        <v>No ha indicado disponibilidad</v>
      </c>
      <c r="F74" s="50">
        <v>4</v>
      </c>
      <c r="G74" s="49">
        <f>IF($B51="Si",IFERROR(ROUND((POWER($D74,0.5))*$F74,2),0),0)</f>
        <v>0</v>
      </c>
    </row>
    <row r="75" spans="1:7" hidden="1" x14ac:dyDescent="0.25">
      <c r="A75" s="58" t="s">
        <v>49</v>
      </c>
      <c r="B75" s="9" t="str">
        <f>IFERROR(VLOOKUP($B$3,Criterios!$B$30:$N$35,10,FALSE),"")</f>
        <v/>
      </c>
      <c r="C75" s="37"/>
      <c r="D75" s="96" t="str">
        <f>IFERROR(IF($B52="Si",IF($C75&lt;&gt;"",1-($C75/$B75),"Sin informar el importe ofertado"),"No ha indicado disponibilidad"),"")</f>
        <v>No ha indicado disponibilidad</v>
      </c>
      <c r="F75" s="50"/>
      <c r="G75" s="49">
        <f>IFERROR(ROUND((POWER(#REF!,0.5))*$C75,2),0)</f>
        <v>0</v>
      </c>
    </row>
    <row r="76" spans="1:7" ht="30" hidden="1" x14ac:dyDescent="0.25">
      <c r="A76" s="58" t="s">
        <v>48</v>
      </c>
      <c r="B76" s="9" t="str">
        <f>IFERROR(VLOOKUP($B$3,Criterios!$B$30:$N$35,11,FALSE),"")</f>
        <v/>
      </c>
      <c r="C76" s="37"/>
      <c r="D76" s="96" t="str">
        <f>IFERROR(IF($B53="Si",IF($C76&lt;&gt;"",1-($C76/$B76),"Sin informar el importe ofertado"),"No ha indicado disponibilidad"),"")</f>
        <v>No ha indicado disponibilidad</v>
      </c>
      <c r="F76" s="50"/>
      <c r="G76" s="49">
        <f>IFERROR(ROUND((POWER(#REF!,0.5))*$C76,2),0)</f>
        <v>0</v>
      </c>
    </row>
    <row r="77" spans="1:7" s="22" customFormat="1" ht="15" customHeight="1" x14ac:dyDescent="0.25">
      <c r="A77" s="58" t="s">
        <v>42</v>
      </c>
      <c r="B77" s="9" t="str">
        <f>IFERROR(VLOOKUP($B$3,Criterios!B22:N35,7,FALSE),"")</f>
        <v/>
      </c>
      <c r="C77" s="59"/>
      <c r="D77" s="60" t="str">
        <f>IFERROR(IF($B$54&lt;&gt;"",IF($C77&lt;&gt;"",1-($C77/$B77),"Sin informar el importe ofertado"),"No ha indicado disponibilidad"),"")</f>
        <v>No ha indicado disponibilidad</v>
      </c>
      <c r="F77" s="50">
        <v>2</v>
      </c>
      <c r="G77" s="49">
        <f>IF($B$54&lt;&gt;"No",IFERROR(ROUND((POWER($D77,0.5))*$F77,2),0),0)</f>
        <v>0</v>
      </c>
    </row>
    <row r="78" spans="1:7" s="22" customFormat="1" ht="15" customHeight="1" x14ac:dyDescent="0.25">
      <c r="A78" s="58" t="s">
        <v>41</v>
      </c>
      <c r="B78" s="9" t="str">
        <f>IFERROR(VLOOKUP($B$3,Criterios!B22:N35,8,FALSE),"")</f>
        <v/>
      </c>
      <c r="C78" s="59"/>
      <c r="D78" s="60" t="str">
        <f>IFERROR(IF($B$54&lt;&gt;"",IF($C78&lt;&gt;"",1-($C78/$B78),"Sin informar el importe ofertado"),"No ha indicado disponibilidad"),"")</f>
        <v>No ha indicado disponibilidad</v>
      </c>
      <c r="F78" s="50">
        <v>5</v>
      </c>
      <c r="G78" s="49">
        <f>IF($B$54&lt;&gt;"No",IFERROR(ROUND((POWER($D78,0.5))*$F78,2),0),0)</f>
        <v>0</v>
      </c>
    </row>
    <row r="79" spans="1:7" ht="15" customHeight="1" x14ac:dyDescent="0.25">
      <c r="A79" s="30" t="s">
        <v>45</v>
      </c>
      <c r="B79" s="9" t="str">
        <f>IFERROR(VLOOKUP($B$3,Criterios!B22:N35,9,FALSE),"")</f>
        <v/>
      </c>
      <c r="C79" s="34"/>
      <c r="D79" s="32" t="str">
        <f>IFERROR(IF($B55="Si",IF($C79&lt;&gt;"",1-($C79/$B79),"Sin informar el importe ofertado"),"No ha indicado disponibilidad"),"")</f>
        <v>No ha indicado disponibilidad</v>
      </c>
      <c r="F79" s="50">
        <v>4</v>
      </c>
      <c r="G79" s="49">
        <f>IF($B55="Si",IFERROR(ROUND((POWER($D79,0.5))*$F79,2),0),0)</f>
        <v>0</v>
      </c>
    </row>
    <row r="80" spans="1:7" ht="13.15" customHeight="1" x14ac:dyDescent="0.25">
      <c r="A80" s="68" t="s">
        <v>162</v>
      </c>
      <c r="B80" s="73" t="s">
        <v>163</v>
      </c>
      <c r="C80" s="2"/>
      <c r="D80" s="38"/>
      <c r="E80" s="5"/>
      <c r="F80" s="10"/>
      <c r="G80" s="4">
        <f>SUM(G38:G79)</f>
        <v>0</v>
      </c>
    </row>
    <row r="81" spans="1:4" hidden="1" x14ac:dyDescent="0.25">
      <c r="A81" s="30" t="s">
        <v>164</v>
      </c>
      <c r="B81" s="78"/>
    </row>
    <row r="82" spans="1:4" s="15" customFormat="1" x14ac:dyDescent="0.25">
      <c r="A82" s="58" t="s">
        <v>165</v>
      </c>
      <c r="B82" s="79"/>
      <c r="C82" s="2"/>
      <c r="D82" s="38"/>
    </row>
    <row r="83" spans="1:4" x14ac:dyDescent="0.25">
      <c r="A83" s="58" t="s">
        <v>166</v>
      </c>
      <c r="B83" s="79"/>
      <c r="C83" s="17"/>
      <c r="D83" s="17"/>
    </row>
  </sheetData>
  <sheetProtection algorithmName="SHA-512" hashValue="Elg0HwWZbauDzQi/1h3hc0i+6wjdOcYc84Q/UKpHtd1BIPwJCJ0KSkPCCFKda0fWplOvwLW+vBDx30OShf/xbQ==" saltValue="w5HdxV6xOh2VcsfAZQh4Aw==" spinCount="100000" sheet="1" objects="1" scenarios="1"/>
  <mergeCells count="38">
    <mergeCell ref="B6:D6"/>
    <mergeCell ref="A1:D1"/>
    <mergeCell ref="A2:D2"/>
    <mergeCell ref="B3:D3"/>
    <mergeCell ref="B4:D4"/>
    <mergeCell ref="B5:D5"/>
    <mergeCell ref="B21:D21"/>
    <mergeCell ref="B7:D7"/>
    <mergeCell ref="A9:D9"/>
    <mergeCell ref="B10:D10"/>
    <mergeCell ref="B11:D11"/>
    <mergeCell ref="A12:D12"/>
    <mergeCell ref="A13:D13"/>
    <mergeCell ref="B14:D14"/>
    <mergeCell ref="B15:D15"/>
    <mergeCell ref="B18:D18"/>
    <mergeCell ref="B19:D19"/>
    <mergeCell ref="B20:D20"/>
    <mergeCell ref="A36:D36"/>
    <mergeCell ref="A22:D22"/>
    <mergeCell ref="B23:D23"/>
    <mergeCell ref="B24:D24"/>
    <mergeCell ref="B25:D25"/>
    <mergeCell ref="A26:D26"/>
    <mergeCell ref="B27:D27"/>
    <mergeCell ref="B28:D28"/>
    <mergeCell ref="B29:D29"/>
    <mergeCell ref="A30:D30"/>
    <mergeCell ref="A31:D31"/>
    <mergeCell ref="A35:D35"/>
    <mergeCell ref="A67:D67"/>
    <mergeCell ref="A68:D68"/>
    <mergeCell ref="A46:D46"/>
    <mergeCell ref="A62:D62"/>
    <mergeCell ref="B63:D63"/>
    <mergeCell ref="B64:D64"/>
    <mergeCell ref="B65:D65"/>
    <mergeCell ref="B66:D66"/>
  </mergeCells>
  <conditionalFormatting sqref="C38:C39">
    <cfRule type="expression" dxfId="17" priority="9">
      <formula>AND(B38="Si",C38="")</formula>
    </cfRule>
  </conditionalFormatting>
  <conditionalFormatting sqref="D38:D39">
    <cfRule type="expression" dxfId="16" priority="8">
      <formula>AND(B38="Si",D38="")</formula>
    </cfRule>
  </conditionalFormatting>
  <conditionalFormatting sqref="C48:C49">
    <cfRule type="expression" dxfId="15" priority="7">
      <formula>AND(B48="Si",C48="")</formula>
    </cfRule>
  </conditionalFormatting>
  <conditionalFormatting sqref="D48:D49">
    <cfRule type="expression" dxfId="14" priority="6">
      <formula>AND(B48="Si",D48="")</formula>
    </cfRule>
  </conditionalFormatting>
  <conditionalFormatting sqref="C51 C55">
    <cfRule type="expression" dxfId="13" priority="5">
      <formula>AND(B51="Si",C51="")</formula>
    </cfRule>
  </conditionalFormatting>
  <conditionalFormatting sqref="C54">
    <cfRule type="expression" dxfId="12" priority="4">
      <formula>AND(OR(B54="Convencional",B54="Digital"),C54="")</formula>
    </cfRule>
  </conditionalFormatting>
  <conditionalFormatting sqref="C70">
    <cfRule type="expression" dxfId="11" priority="3">
      <formula>$C$70=""</formula>
    </cfRule>
  </conditionalFormatting>
  <conditionalFormatting sqref="C71:C72">
    <cfRule type="expression" dxfId="10" priority="2">
      <formula>$C$70=""</formula>
    </cfRule>
  </conditionalFormatting>
  <conditionalFormatting sqref="C50">
    <cfRule type="expression" dxfId="9" priority="1">
      <formula>AND(B50="Si",C50="")</formula>
    </cfRule>
  </conditionalFormatting>
  <dataValidations count="2">
    <dataValidation type="custom" allowBlank="1" showInputMessage="1" showErrorMessage="1" errorTitle="Validación dato introducido" error="El importe debe ser menor o igual al máximo de ese servicio y múltiplo de 0,1€" sqref="C70:C72 C74 C77:C79" xr:uid="{7D217790-F075-42B9-8082-F594AA91DC97}">
      <formula1>AND(C70=MROUND(C70,0.1),C70&lt;=B70)</formula1>
    </dataValidation>
    <dataValidation type="custom" allowBlank="1" showInputMessage="1" showErrorMessage="1" sqref="C75:C76" xr:uid="{3ABE1E79-87C3-4A94-9B7B-D05BF29F83CC}">
      <formula1>AND(C75=MROUND(C75,0.1),C75&lt;=XEZ75)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153210A-D7C8-4B41-8B2B-DB17E612A79B}">
          <x14:formula1>
            <xm:f>Criterios!$K$2:$K$5</xm:f>
          </x14:formula1>
          <xm:sqref>B63:D63</xm:sqref>
        </x14:dataValidation>
        <x14:dataValidation type="list" allowBlank="1" showInputMessage="1" showErrorMessage="1" xr:uid="{255092D4-C76F-4065-97A5-97F2D630AFEC}">
          <x14:formula1>
            <xm:f>Criterios!$B$2:$B$3</xm:f>
          </x14:formula1>
          <xm:sqref>B42:B44 B64:D65 B57:B61 B32:B34 B55 B38:B40 B48:B53</xm:sqref>
        </x14:dataValidation>
        <x14:dataValidation type="list" allowBlank="1" showInputMessage="1" showErrorMessage="1" xr:uid="{164AFA69-1D14-43DC-841C-1FB36526D5F5}">
          <x14:formula1>
            <xm:f>Criterios!$N$13:$N$14</xm:f>
          </x14:formula1>
          <xm:sqref>D38 D48</xm:sqref>
        </x14:dataValidation>
        <x14:dataValidation type="list" allowBlank="1" showInputMessage="1" showErrorMessage="1" xr:uid="{AD4E891F-3B54-41E7-849E-FF13972783DE}">
          <x14:formula1>
            <xm:f>Criterios!$N$17:$N$18</xm:f>
          </x14:formula1>
          <xm:sqref>D39 D49</xm:sqref>
        </x14:dataValidation>
        <x14:dataValidation type="list" allowBlank="1" showInputMessage="1" showErrorMessage="1" xr:uid="{1549E587-78A3-4DD2-868D-4615AD338405}">
          <x14:formula1>
            <xm:f>Criterios!$T$14:$T$16</xm:f>
          </x14:formula1>
          <xm:sqref>B66:D66</xm:sqref>
        </x14:dataValidation>
        <x14:dataValidation type="list" allowBlank="1" showInputMessage="1" showErrorMessage="1" xr:uid="{D536C6FE-F8BD-490A-B6C5-8459272DDB88}">
          <x14:formula1>
            <xm:f>Criterios!$Y$2:$Y$52</xm:f>
          </x14:formula1>
          <xm:sqref>D8</xm:sqref>
        </x14:dataValidation>
        <x14:dataValidation type="list" allowBlank="1" showInputMessage="1" showErrorMessage="1" xr:uid="{5B176823-48F1-46A7-B0E4-1BCFA5AD32FF}">
          <x14:formula1>
            <xm:f>Criterios!$B$8:$B$10</xm:f>
          </x14:formula1>
          <xm:sqref>B54</xm:sqref>
        </x14:dataValidation>
        <x14:dataValidation type="list" allowBlank="1" showInputMessage="1" showErrorMessage="1" xr:uid="{F3D9EA28-F377-4C61-9B4C-99067CADE4E2}">
          <x14:formula1>
            <xm:f>Criterios!$B$23</xm:f>
          </x14:formula1>
          <xm:sqref>B3:D3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6909-DA94-46D0-AFAE-097228D3F617}">
  <sheetPr codeName="Hoja2"/>
  <dimension ref="A1:G83"/>
  <sheetViews>
    <sheetView tabSelected="1" workbookViewId="0">
      <selection activeCell="H2" sqref="H2"/>
    </sheetView>
  </sheetViews>
  <sheetFormatPr baseColWidth="10" defaultRowHeight="15" x14ac:dyDescent="0.25"/>
  <cols>
    <col min="1" max="1" width="51.7109375" customWidth="1"/>
    <col min="2" max="2" width="18.7109375" customWidth="1"/>
    <col min="3" max="3" width="19.85546875" bestFit="1" customWidth="1"/>
    <col min="4" max="4" width="27.7109375" bestFit="1" customWidth="1"/>
    <col min="5" max="5" width="10.28515625" customWidth="1"/>
    <col min="6" max="6" width="17.85546875" hidden="1" customWidth="1"/>
    <col min="7" max="7" width="18.140625" hidden="1" customWidth="1"/>
  </cols>
  <sheetData>
    <row r="1" spans="1:4" ht="75.75" customHeight="1" x14ac:dyDescent="0.25">
      <c r="A1" s="142" t="s">
        <v>208</v>
      </c>
      <c r="B1" s="143"/>
      <c r="C1" s="143"/>
      <c r="D1" s="144"/>
    </row>
    <row r="2" spans="1:4" s="22" customFormat="1" ht="53.25" customHeight="1" x14ac:dyDescent="0.25">
      <c r="A2" s="140" t="s">
        <v>172</v>
      </c>
      <c r="B2" s="141"/>
      <c r="C2" s="141"/>
      <c r="D2" s="141"/>
    </row>
    <row r="3" spans="1:4" s="22" customFormat="1" ht="15" customHeight="1" x14ac:dyDescent="0.25">
      <c r="A3" s="65" t="s">
        <v>35</v>
      </c>
      <c r="B3" s="138"/>
      <c r="C3" s="138"/>
      <c r="D3" s="138"/>
    </row>
    <row r="4" spans="1:4" s="22" customFormat="1" ht="15" customHeight="1" x14ac:dyDescent="0.25">
      <c r="A4" s="65" t="s">
        <v>36</v>
      </c>
      <c r="B4" s="139" t="str">
        <f>IFERROR(VLOOKUP(B3,Criterios!B22:N35,2,FALSE),"")</f>
        <v/>
      </c>
      <c r="C4" s="139"/>
      <c r="D4" s="139"/>
    </row>
    <row r="5" spans="1:4" s="22" customFormat="1" ht="15" customHeight="1" x14ac:dyDescent="0.25">
      <c r="A5" s="65" t="s">
        <v>53</v>
      </c>
      <c r="B5" s="111"/>
      <c r="C5" s="111"/>
      <c r="D5" s="111"/>
    </row>
    <row r="6" spans="1:4" s="22" customFormat="1" ht="15" customHeight="1" x14ac:dyDescent="0.25">
      <c r="A6" s="65" t="s">
        <v>0</v>
      </c>
      <c r="B6" s="111"/>
      <c r="C6" s="111"/>
      <c r="D6" s="111"/>
    </row>
    <row r="7" spans="1:4" s="22" customFormat="1" ht="15" customHeight="1" x14ac:dyDescent="0.25">
      <c r="A7" s="65" t="s">
        <v>61</v>
      </c>
      <c r="B7" s="111"/>
      <c r="C7" s="111"/>
      <c r="D7" s="111"/>
    </row>
    <row r="8" spans="1:4" s="22" customFormat="1" ht="15" customHeight="1" x14ac:dyDescent="0.25">
      <c r="A8" s="65" t="s">
        <v>1</v>
      </c>
      <c r="B8" s="52"/>
      <c r="C8" s="65" t="s">
        <v>56</v>
      </c>
      <c r="D8" s="53"/>
    </row>
    <row r="9" spans="1:4" s="22" customFormat="1" ht="15" customHeight="1" x14ac:dyDescent="0.25">
      <c r="A9" s="112" t="s">
        <v>91</v>
      </c>
      <c r="B9" s="112"/>
      <c r="C9" s="112"/>
      <c r="D9" s="112"/>
    </row>
    <row r="10" spans="1:4" s="22" customFormat="1" ht="15" customHeight="1" x14ac:dyDescent="0.25">
      <c r="A10" s="65" t="s">
        <v>92</v>
      </c>
      <c r="B10" s="121"/>
      <c r="C10" s="122"/>
      <c r="D10" s="123"/>
    </row>
    <row r="11" spans="1:4" s="22" customFormat="1" ht="15" customHeight="1" x14ac:dyDescent="0.25">
      <c r="A11" s="21" t="s">
        <v>93</v>
      </c>
      <c r="B11" s="124"/>
      <c r="C11" s="125"/>
      <c r="D11" s="126"/>
    </row>
    <row r="12" spans="1:4" s="22" customFormat="1" ht="48" customHeight="1" x14ac:dyDescent="0.25">
      <c r="A12" s="127" t="str">
        <f>IF(B11&lt;&gt;"",CONCATENATE("Don/Dña. ",B10, ", con DNI nº ",B11,", en nombre propio/en representación de la empresa ",B5,", con domicilio social en ",B7," y con CIF nº ",B6,", declara que adscribirá a la ejecución del servicio los siguientes centros y equipos:"),"")</f>
        <v/>
      </c>
      <c r="B12" s="128"/>
      <c r="C12" s="128"/>
      <c r="D12" s="129"/>
    </row>
    <row r="13" spans="1:4" s="22" customFormat="1" ht="15" customHeight="1" x14ac:dyDescent="0.25">
      <c r="A13" s="117" t="s">
        <v>62</v>
      </c>
      <c r="B13" s="118"/>
      <c r="C13" s="118"/>
      <c r="D13" s="119"/>
    </row>
    <row r="14" spans="1:4" s="22" customFormat="1" ht="15" customHeight="1" x14ac:dyDescent="0.25">
      <c r="A14" s="65" t="s">
        <v>54</v>
      </c>
      <c r="B14" s="121"/>
      <c r="C14" s="122"/>
      <c r="D14" s="123"/>
    </row>
    <row r="15" spans="1:4" s="22" customFormat="1" ht="15" customHeight="1" x14ac:dyDescent="0.25">
      <c r="A15" s="65" t="s">
        <v>55</v>
      </c>
      <c r="B15" s="121"/>
      <c r="C15" s="122"/>
      <c r="D15" s="123"/>
    </row>
    <row r="16" spans="1:4" s="22" customFormat="1" ht="15" customHeight="1" x14ac:dyDescent="0.25">
      <c r="A16" s="65" t="s">
        <v>1</v>
      </c>
      <c r="B16" s="54"/>
      <c r="C16" s="65" t="s">
        <v>56</v>
      </c>
      <c r="D16" s="82" t="str">
        <f>IFERROR(VLOOKUP(B3,Criterios!B22:N35,13,FALSE),"Elija nº de lote")</f>
        <v>Elija nº de lote</v>
      </c>
    </row>
    <row r="17" spans="1:7" s="22" customFormat="1" ht="15" customHeight="1" x14ac:dyDescent="0.25">
      <c r="A17" s="65" t="s">
        <v>57</v>
      </c>
      <c r="B17" s="53"/>
      <c r="C17" s="65" t="s">
        <v>60</v>
      </c>
      <c r="D17" s="53"/>
    </row>
    <row r="18" spans="1:7" s="22" customFormat="1" ht="15" customHeight="1" x14ac:dyDescent="0.25">
      <c r="A18" s="65" t="s">
        <v>58</v>
      </c>
      <c r="B18" s="111"/>
      <c r="C18" s="111"/>
      <c r="D18" s="111"/>
    </row>
    <row r="19" spans="1:7" s="22" customFormat="1" ht="15" customHeight="1" x14ac:dyDescent="0.25">
      <c r="A19" s="65" t="s">
        <v>59</v>
      </c>
      <c r="B19" s="111"/>
      <c r="C19" s="111"/>
      <c r="D19" s="111"/>
      <c r="F19" s="48"/>
      <c r="G19" s="48"/>
    </row>
    <row r="20" spans="1:7" s="22" customFormat="1" ht="15" customHeight="1" x14ac:dyDescent="0.25">
      <c r="A20" s="65" t="s">
        <v>63</v>
      </c>
      <c r="B20" s="111"/>
      <c r="C20" s="111"/>
      <c r="D20" s="111"/>
    </row>
    <row r="21" spans="1:7" s="22" customFormat="1" ht="15" customHeight="1" x14ac:dyDescent="0.25">
      <c r="A21" s="65" t="s">
        <v>64</v>
      </c>
      <c r="B21" s="111"/>
      <c r="C21" s="111"/>
      <c r="D21" s="111"/>
    </row>
    <row r="22" spans="1:7" s="22" customFormat="1" ht="17.45" customHeight="1" x14ac:dyDescent="0.25">
      <c r="A22" s="113" t="s">
        <v>84</v>
      </c>
      <c r="B22" s="114"/>
      <c r="C22" s="114"/>
      <c r="D22" s="120"/>
    </row>
    <row r="23" spans="1:7" s="22" customFormat="1" ht="15" customHeight="1" x14ac:dyDescent="0.25">
      <c r="A23" s="65" t="s">
        <v>83</v>
      </c>
      <c r="B23" s="111"/>
      <c r="C23" s="111"/>
      <c r="D23" s="111"/>
    </row>
    <row r="24" spans="1:7" s="22" customFormat="1" ht="15" customHeight="1" x14ac:dyDescent="0.25">
      <c r="A24" s="65" t="s">
        <v>63</v>
      </c>
      <c r="B24" s="111"/>
      <c r="C24" s="111"/>
      <c r="D24" s="111"/>
    </row>
    <row r="25" spans="1:7" s="22" customFormat="1" ht="15" customHeight="1" x14ac:dyDescent="0.25">
      <c r="A25" s="65" t="s">
        <v>57</v>
      </c>
      <c r="B25" s="111"/>
      <c r="C25" s="111"/>
      <c r="D25" s="111"/>
    </row>
    <row r="26" spans="1:7" s="22" customFormat="1" ht="15" customHeight="1" x14ac:dyDescent="0.25">
      <c r="A26" s="113" t="s">
        <v>85</v>
      </c>
      <c r="B26" s="114"/>
      <c r="C26" s="114"/>
      <c r="D26" s="120"/>
    </row>
    <row r="27" spans="1:7" s="22" customFormat="1" ht="15" customHeight="1" x14ac:dyDescent="0.25">
      <c r="A27" s="65" t="s">
        <v>83</v>
      </c>
      <c r="B27" s="111"/>
      <c r="C27" s="111"/>
      <c r="D27" s="111"/>
    </row>
    <row r="28" spans="1:7" s="22" customFormat="1" ht="15" customHeight="1" x14ac:dyDescent="0.25">
      <c r="A28" s="65" t="s">
        <v>63</v>
      </c>
      <c r="B28" s="111"/>
      <c r="C28" s="111"/>
      <c r="D28" s="111"/>
    </row>
    <row r="29" spans="1:7" s="22" customFormat="1" ht="15" customHeight="1" x14ac:dyDescent="0.25">
      <c r="A29" s="65" t="s">
        <v>57</v>
      </c>
      <c r="B29" s="111"/>
      <c r="C29" s="111"/>
      <c r="D29" s="111"/>
    </row>
    <row r="30" spans="1:7" s="22" customFormat="1" ht="15" customHeight="1" x14ac:dyDescent="0.25">
      <c r="A30" s="132" t="s">
        <v>171</v>
      </c>
      <c r="B30" s="133"/>
      <c r="C30" s="133"/>
      <c r="D30" s="133"/>
    </row>
    <row r="31" spans="1:7" ht="15.75" x14ac:dyDescent="0.25">
      <c r="A31" s="112" t="s">
        <v>94</v>
      </c>
      <c r="B31" s="112"/>
      <c r="C31" s="112"/>
      <c r="D31" s="112"/>
    </row>
    <row r="32" spans="1:7" ht="15.75" x14ac:dyDescent="0.25">
      <c r="A32" s="43" t="s">
        <v>65</v>
      </c>
      <c r="B32" s="76"/>
      <c r="C32" s="77"/>
      <c r="D32" s="77"/>
    </row>
    <row r="33" spans="1:7" ht="15.75" x14ac:dyDescent="0.25">
      <c r="A33" s="65" t="s">
        <v>66</v>
      </c>
      <c r="B33" s="98"/>
      <c r="C33" s="77"/>
      <c r="D33" s="77"/>
    </row>
    <row r="34" spans="1:7" ht="15.75" x14ac:dyDescent="0.25">
      <c r="A34" s="65" t="s">
        <v>67</v>
      </c>
      <c r="B34" s="98"/>
      <c r="C34" s="77"/>
      <c r="D34" s="77"/>
    </row>
    <row r="35" spans="1:7" ht="15.75" x14ac:dyDescent="0.25">
      <c r="A35" s="113"/>
      <c r="B35" s="114"/>
      <c r="C35" s="115"/>
      <c r="D35" s="116"/>
      <c r="E35" s="48"/>
      <c r="F35" s="48"/>
      <c r="G35" s="48"/>
    </row>
    <row r="36" spans="1:7" ht="15.75" x14ac:dyDescent="0.25">
      <c r="A36" s="117" t="s">
        <v>96</v>
      </c>
      <c r="B36" s="118"/>
      <c r="C36" s="118"/>
      <c r="D36" s="119"/>
      <c r="E36" s="17"/>
      <c r="F36" s="17"/>
      <c r="G36" s="17"/>
    </row>
    <row r="37" spans="1:7" ht="21.6" customHeight="1" x14ac:dyDescent="0.25">
      <c r="A37" s="43" t="s">
        <v>97</v>
      </c>
      <c r="B37" s="102" t="s">
        <v>69</v>
      </c>
      <c r="C37" s="102" t="s">
        <v>70</v>
      </c>
      <c r="D37" s="102" t="s">
        <v>95</v>
      </c>
      <c r="F37" s="99" t="s">
        <v>3</v>
      </c>
      <c r="G37" s="84" t="s">
        <v>100</v>
      </c>
    </row>
    <row r="38" spans="1:7" ht="15.75" hidden="1" x14ac:dyDescent="0.25">
      <c r="A38" s="65" t="s">
        <v>68</v>
      </c>
      <c r="B38" s="101"/>
      <c r="C38" s="80"/>
      <c r="D38" s="101"/>
      <c r="F38" s="49"/>
      <c r="G38" s="49">
        <f>IFERROR(IF($B38="Si",VLOOKUP($D38,Criterios!$N$13:$O$14,2,FALSE),0),0)</f>
        <v>0</v>
      </c>
    </row>
    <row r="39" spans="1:7" ht="15.75" hidden="1" x14ac:dyDescent="0.25">
      <c r="A39" s="65" t="s">
        <v>72</v>
      </c>
      <c r="B39" s="101"/>
      <c r="C39" s="80"/>
      <c r="D39" s="101"/>
      <c r="F39" s="49"/>
      <c r="G39" s="49">
        <f>IFERROR(IF($B39="Si",VLOOKUP($D39,Criterios!$N$17:$O$18,2,FALSE),0),0)</f>
        <v>0</v>
      </c>
    </row>
    <row r="40" spans="1:7" ht="15.75" x14ac:dyDescent="0.25">
      <c r="A40" s="85" t="s">
        <v>169</v>
      </c>
      <c r="B40" s="101"/>
      <c r="C40" s="101"/>
      <c r="D40" s="42"/>
      <c r="F40" s="1"/>
      <c r="G40" s="1"/>
    </row>
    <row r="41" spans="1:7" ht="15.75" x14ac:dyDescent="0.25">
      <c r="A41" s="44" t="s">
        <v>99</v>
      </c>
      <c r="B41" s="44" t="s">
        <v>69</v>
      </c>
      <c r="C41" s="55"/>
      <c r="D41" s="55"/>
    </row>
    <row r="42" spans="1:7" ht="15.75" hidden="1" x14ac:dyDescent="0.25">
      <c r="A42" s="85" t="s">
        <v>90</v>
      </c>
      <c r="B42" s="101"/>
      <c r="C42" s="55"/>
      <c r="D42" s="55"/>
    </row>
    <row r="43" spans="1:7" ht="15.75" x14ac:dyDescent="0.25">
      <c r="A43" s="85" t="s">
        <v>87</v>
      </c>
      <c r="B43" s="101"/>
      <c r="C43" s="55"/>
      <c r="D43" s="55"/>
    </row>
    <row r="44" spans="1:7" ht="15.75" x14ac:dyDescent="0.25">
      <c r="A44" s="85" t="s">
        <v>88</v>
      </c>
      <c r="B44" s="101"/>
      <c r="C44" s="55"/>
      <c r="D44" s="55"/>
    </row>
    <row r="45" spans="1:7" s="57" customFormat="1" ht="15.75" x14ac:dyDescent="0.25">
      <c r="A45" s="56"/>
    </row>
    <row r="46" spans="1:7" ht="15.75" x14ac:dyDescent="0.25">
      <c r="A46" s="108" t="s">
        <v>98</v>
      </c>
      <c r="B46" s="109"/>
      <c r="C46" s="109"/>
      <c r="D46" s="110"/>
    </row>
    <row r="47" spans="1:7" ht="16.149999999999999" customHeight="1" x14ac:dyDescent="0.25">
      <c r="A47" s="100" t="s">
        <v>97</v>
      </c>
      <c r="B47" s="67" t="s">
        <v>69</v>
      </c>
      <c r="C47" s="67" t="s">
        <v>70</v>
      </c>
      <c r="D47" s="67" t="s">
        <v>95</v>
      </c>
      <c r="F47" s="99" t="s">
        <v>3</v>
      </c>
      <c r="G47" s="84" t="s">
        <v>6</v>
      </c>
    </row>
    <row r="48" spans="1:7" ht="15.75" hidden="1" x14ac:dyDescent="0.25">
      <c r="A48" s="68" t="s">
        <v>71</v>
      </c>
      <c r="B48" s="101"/>
      <c r="C48" s="80"/>
      <c r="D48" s="101"/>
      <c r="F48" s="49">
        <v>5</v>
      </c>
      <c r="G48" s="49">
        <f>IF(B48="Si",5,0)</f>
        <v>0</v>
      </c>
    </row>
    <row r="49" spans="1:7" ht="15.75" hidden="1" x14ac:dyDescent="0.25">
      <c r="A49" s="68" t="s">
        <v>73</v>
      </c>
      <c r="B49" s="101"/>
      <c r="C49" s="80"/>
      <c r="D49" s="101"/>
      <c r="F49" s="49">
        <v>5</v>
      </c>
      <c r="G49" s="49">
        <f>IF(B49="Si",5,0)</f>
        <v>0</v>
      </c>
    </row>
    <row r="50" spans="1:7" ht="15.75" x14ac:dyDescent="0.25">
      <c r="A50" s="68" t="s">
        <v>159</v>
      </c>
      <c r="B50" s="101"/>
      <c r="C50" s="80"/>
      <c r="D50" s="42"/>
      <c r="F50" s="49">
        <v>10</v>
      </c>
      <c r="G50" s="49">
        <f>IF(B50="Si",F50,0)</f>
        <v>0</v>
      </c>
    </row>
    <row r="51" spans="1:7" ht="15.75" hidden="1" x14ac:dyDescent="0.25">
      <c r="A51" s="68" t="s">
        <v>74</v>
      </c>
      <c r="B51" s="101"/>
      <c r="C51" s="93"/>
      <c r="D51" s="55"/>
      <c r="F51" s="49">
        <v>9</v>
      </c>
      <c r="G51" s="49">
        <f>IF($B51="Si",F51,0)</f>
        <v>0</v>
      </c>
    </row>
    <row r="52" spans="1:7" ht="15.75" x14ac:dyDescent="0.25">
      <c r="A52" s="68" t="s">
        <v>160</v>
      </c>
      <c r="B52" s="101"/>
      <c r="C52" s="81"/>
      <c r="D52" s="42"/>
      <c r="F52" s="49">
        <v>10</v>
      </c>
      <c r="G52" s="49">
        <f>IF(B52="Si",F52,0)</f>
        <v>0</v>
      </c>
    </row>
    <row r="53" spans="1:7" ht="15.75" x14ac:dyDescent="0.25">
      <c r="A53" s="68" t="s">
        <v>161</v>
      </c>
      <c r="B53" s="101"/>
      <c r="C53" s="81"/>
      <c r="D53" s="42"/>
      <c r="F53" s="49">
        <v>9</v>
      </c>
      <c r="G53" s="49">
        <f>IF(B53="Si",F53,0)</f>
        <v>0</v>
      </c>
    </row>
    <row r="54" spans="1:7" ht="15.75" x14ac:dyDescent="0.25">
      <c r="A54" s="68" t="s">
        <v>76</v>
      </c>
      <c r="B54" s="101"/>
      <c r="C54" s="80"/>
      <c r="D54" s="55"/>
      <c r="F54" s="49" t="s">
        <v>214</v>
      </c>
      <c r="G54" s="49">
        <f>IFERROR(VLOOKUP(B54,Criterios!E18:F20,2,FALSE),0)</f>
        <v>0</v>
      </c>
    </row>
    <row r="55" spans="1:7" ht="15.75" x14ac:dyDescent="0.25">
      <c r="A55" s="68" t="s">
        <v>75</v>
      </c>
      <c r="B55" s="101"/>
      <c r="C55" s="80"/>
      <c r="D55" s="55"/>
      <c r="F55" s="49">
        <v>4</v>
      </c>
      <c r="G55" s="49">
        <f>IF($B55="Si",F55,0)</f>
        <v>0</v>
      </c>
    </row>
    <row r="56" spans="1:7" ht="15.75" x14ac:dyDescent="0.25">
      <c r="A56" s="68" t="s">
        <v>99</v>
      </c>
      <c r="B56" s="67" t="s">
        <v>69</v>
      </c>
      <c r="C56" s="55"/>
      <c r="D56" s="55"/>
      <c r="F56" s="22"/>
      <c r="G56" s="22"/>
    </row>
    <row r="57" spans="1:7" ht="15.75" hidden="1" x14ac:dyDescent="0.25">
      <c r="A57" s="68" t="s">
        <v>86</v>
      </c>
      <c r="B57" s="101"/>
      <c r="C57" s="55"/>
      <c r="D57" s="55"/>
    </row>
    <row r="58" spans="1:7" ht="15.75" hidden="1" x14ac:dyDescent="0.25">
      <c r="A58" s="68" t="s">
        <v>87</v>
      </c>
      <c r="B58" s="101"/>
      <c r="C58" s="55"/>
      <c r="D58" s="55"/>
    </row>
    <row r="59" spans="1:7" ht="15.75" hidden="1" x14ac:dyDescent="0.25">
      <c r="A59" s="68" t="s">
        <v>88</v>
      </c>
      <c r="B59" s="101"/>
      <c r="C59" s="55"/>
      <c r="D59" s="55"/>
    </row>
    <row r="60" spans="1:7" ht="15.75" x14ac:dyDescent="0.25">
      <c r="A60" s="72" t="s">
        <v>89</v>
      </c>
      <c r="B60" s="101"/>
      <c r="C60" s="55"/>
      <c r="D60" s="55"/>
    </row>
    <row r="61" spans="1:7" ht="15.75" hidden="1" x14ac:dyDescent="0.25">
      <c r="A61" s="72" t="s">
        <v>90</v>
      </c>
      <c r="B61" s="101"/>
      <c r="C61" s="55"/>
      <c r="D61" s="55"/>
    </row>
    <row r="62" spans="1:7" ht="18.600000000000001" customHeight="1" x14ac:dyDescent="0.25">
      <c r="A62" s="108" t="s">
        <v>167</v>
      </c>
      <c r="B62" s="109"/>
      <c r="C62" s="109"/>
      <c r="D62" s="110"/>
      <c r="F62" s="99" t="s">
        <v>3</v>
      </c>
      <c r="G62" s="99" t="s">
        <v>103</v>
      </c>
    </row>
    <row r="63" spans="1:7" s="22" customFormat="1" ht="15" customHeight="1" x14ac:dyDescent="0.25">
      <c r="A63" s="69" t="s">
        <v>102</v>
      </c>
      <c r="B63" s="137"/>
      <c r="C63" s="137"/>
      <c r="D63" s="137"/>
      <c r="F63" s="88" t="s">
        <v>210</v>
      </c>
      <c r="G63" s="49">
        <f>IFERROR(VLOOKUP(B63,Criterios!K2:L5,2,0),0)</f>
        <v>0</v>
      </c>
    </row>
    <row r="64" spans="1:7" s="22" customFormat="1" ht="16.149999999999999" customHeight="1" x14ac:dyDescent="0.25">
      <c r="A64" s="69" t="s">
        <v>101</v>
      </c>
      <c r="B64" s="137"/>
      <c r="C64" s="137"/>
      <c r="D64" s="137"/>
      <c r="F64" s="88">
        <v>3</v>
      </c>
      <c r="G64" s="49">
        <f>IF(B64="Si",F64,0)</f>
        <v>0</v>
      </c>
    </row>
    <row r="65" spans="1:7" s="22" customFormat="1" ht="31.5" hidden="1" x14ac:dyDescent="0.25">
      <c r="A65" s="69" t="s">
        <v>104</v>
      </c>
      <c r="B65" s="134"/>
      <c r="C65" s="134"/>
      <c r="D65" s="134"/>
      <c r="F65" s="88">
        <v>5</v>
      </c>
      <c r="G65" s="89">
        <f>IF(B65="Si",F65,0)</f>
        <v>0</v>
      </c>
    </row>
    <row r="66" spans="1:7" s="22" customFormat="1" ht="15.75" x14ac:dyDescent="0.25">
      <c r="A66" s="69" t="s">
        <v>158</v>
      </c>
      <c r="B66" s="137"/>
      <c r="C66" s="137"/>
      <c r="D66" s="137"/>
      <c r="F66" s="88" t="s">
        <v>214</v>
      </c>
      <c r="G66" s="89">
        <f>IFERROR(VLOOKUP(B66,Criterios!T14:U16,2,FALSE),0)</f>
        <v>0</v>
      </c>
    </row>
    <row r="67" spans="1:7" ht="15.6" customHeight="1" x14ac:dyDescent="0.25">
      <c r="A67" s="131"/>
      <c r="B67" s="131"/>
      <c r="C67" s="131"/>
      <c r="D67" s="131"/>
    </row>
    <row r="68" spans="1:7" ht="15.75" x14ac:dyDescent="0.25">
      <c r="A68" s="130" t="s">
        <v>105</v>
      </c>
      <c r="B68" s="130"/>
      <c r="C68" s="130"/>
      <c r="D68" s="130"/>
    </row>
    <row r="69" spans="1:7" ht="47.25" x14ac:dyDescent="0.25">
      <c r="A69" s="65" t="s">
        <v>46</v>
      </c>
      <c r="B69" s="84" t="s">
        <v>2</v>
      </c>
      <c r="C69" s="99" t="s">
        <v>5</v>
      </c>
      <c r="D69" s="31" t="s">
        <v>4</v>
      </c>
      <c r="F69" s="99" t="s">
        <v>3</v>
      </c>
      <c r="G69" s="84" t="s">
        <v>6</v>
      </c>
    </row>
    <row r="70" spans="1:7" hidden="1" x14ac:dyDescent="0.25">
      <c r="A70" s="30" t="s">
        <v>16</v>
      </c>
      <c r="B70" s="9" t="str">
        <f>IFERROR(VLOOKUP($B$3,Criterios!$B$30:$N$35,3,FALSE),"")</f>
        <v/>
      </c>
      <c r="C70" s="37"/>
      <c r="D70" s="32" t="str">
        <f>IFERROR(IF($B$3&lt;&gt;"",IF($C70&lt;&gt;"",1-($C70/$B70),"Sin informar el importe ofertado"),"Indique el nº de lote"),"")</f>
        <v>Indique el nº de lote</v>
      </c>
      <c r="F70" s="50">
        <v>17</v>
      </c>
      <c r="G70" s="49">
        <f>IFERROR(ROUND((POWER($D70,0.5))*$F70,2),0)</f>
        <v>0</v>
      </c>
    </row>
    <row r="71" spans="1:7" hidden="1" x14ac:dyDescent="0.25">
      <c r="A71" s="30" t="s">
        <v>37</v>
      </c>
      <c r="B71" s="9" t="str">
        <f>IFERROR(VLOOKUP($B$3,Criterios!$B$30:$N$35,4,FALSE),"")</f>
        <v/>
      </c>
      <c r="C71" s="37"/>
      <c r="D71" s="32" t="str">
        <f>IFERROR(IF($B$3&lt;&gt;"",IF($C71&lt;&gt;"",1-($C71/$B71),"Sin informar el importe ofertado"),"Indique el nº de lote"),"")</f>
        <v>Indique el nº de lote</v>
      </c>
      <c r="F71" s="50">
        <v>17</v>
      </c>
      <c r="G71" s="49">
        <f>IFERROR(ROUND((POWER($D71,0.5))*$F71,2),0)</f>
        <v>0</v>
      </c>
    </row>
    <row r="72" spans="1:7" x14ac:dyDescent="0.25">
      <c r="A72" s="58" t="s">
        <v>170</v>
      </c>
      <c r="B72" s="9" t="str">
        <f>IFERROR(VLOOKUP($B$3,Criterios!$B$22:$N$35,5,FALSE),"")</f>
        <v/>
      </c>
      <c r="C72" s="37"/>
      <c r="D72" s="32" t="str">
        <f>IFERROR(IF($B$3&lt;&gt;"",IF($C72&lt;&gt;"",1-($C72/$B72),"Sin informar el importe ofertado"),"Indique el nº de lote"),"")</f>
        <v>Indique el nº de lote</v>
      </c>
      <c r="F72" s="50">
        <v>25</v>
      </c>
      <c r="G72" s="49">
        <f>IFERROR(ROUND((POWER($D72,0.5))*$F72,2),0)</f>
        <v>0</v>
      </c>
    </row>
    <row r="73" spans="1:7" ht="47.25" x14ac:dyDescent="0.25">
      <c r="A73" s="68" t="s">
        <v>47</v>
      </c>
      <c r="B73" s="73" t="s">
        <v>2</v>
      </c>
      <c r="C73" s="83" t="s">
        <v>5</v>
      </c>
      <c r="D73" s="75" t="s">
        <v>4</v>
      </c>
      <c r="F73" s="19" t="s">
        <v>3</v>
      </c>
      <c r="G73" s="84" t="s">
        <v>6</v>
      </c>
    </row>
    <row r="74" spans="1:7" ht="15" hidden="1" customHeight="1" x14ac:dyDescent="0.25">
      <c r="A74" s="30" t="s">
        <v>38</v>
      </c>
      <c r="B74" s="9" t="str">
        <f>IFERROR(VLOOKUP($B$3,Criterios!$B$30:$N$35,6,FALSE),"")</f>
        <v/>
      </c>
      <c r="C74" s="34">
        <v>0.5</v>
      </c>
      <c r="D74" s="32" t="str">
        <f>IFERROR(IF($B51="Si",IF($C74&lt;&gt;"",1-($C74/$B74),"Sin informar el importe ofertado"),"No ha indicado disponibilidad"),"")</f>
        <v>No ha indicado disponibilidad</v>
      </c>
      <c r="F74" s="50">
        <v>4</v>
      </c>
      <c r="G74" s="49">
        <f>IF($B51="Si",IFERROR(ROUND((POWER($D74,0.5))*$F74,2),0),0)</f>
        <v>0</v>
      </c>
    </row>
    <row r="75" spans="1:7" x14ac:dyDescent="0.25">
      <c r="A75" s="58" t="s">
        <v>49</v>
      </c>
      <c r="B75" s="9" t="str">
        <f>IFERROR(VLOOKUP($B$3,Criterios!$B$22:$N$35,10,FALSE),"")</f>
        <v/>
      </c>
      <c r="C75" s="37"/>
      <c r="D75" s="96" t="str">
        <f>IFERROR(IF($B52="Si",IF($C75&lt;&gt;"",1-($C75/$B75),"Sin informar el importe ofertado"),"No ha indicado disponibilidad"),"")</f>
        <v>No ha indicado disponibilidad</v>
      </c>
      <c r="F75" s="50">
        <v>9</v>
      </c>
      <c r="G75" s="49">
        <f>IFERROR(ROUND((POWER($D75,0.5))*$F75,2),0)</f>
        <v>0</v>
      </c>
    </row>
    <row r="76" spans="1:7" ht="30" x14ac:dyDescent="0.25">
      <c r="A76" s="58" t="s">
        <v>48</v>
      </c>
      <c r="B76" s="9" t="str">
        <f>IFERROR(VLOOKUP($B$3,Criterios!$B$22:$N$35,11,FALSE),"")</f>
        <v/>
      </c>
      <c r="C76" s="107"/>
      <c r="D76" s="96" t="str">
        <f>IFERROR(IF($B53="Si",IF($C76&lt;&gt;"",1-($C76/$B76),"Sin informar el importe ofertado"),"No ha indicado disponibilidad"),"")</f>
        <v>No ha indicado disponibilidad</v>
      </c>
      <c r="F76" s="88">
        <v>4</v>
      </c>
      <c r="G76" s="89">
        <f>IFERROR(ROUND((POWER($D76,0.5))*$F76,2),0)</f>
        <v>0</v>
      </c>
    </row>
    <row r="77" spans="1:7" s="22" customFormat="1" ht="15" customHeight="1" x14ac:dyDescent="0.25">
      <c r="A77" s="58" t="s">
        <v>42</v>
      </c>
      <c r="B77" s="9" t="str">
        <f>IFERROR(VLOOKUP($B$3,Criterios!$B$22:$N$35,7,FALSE),"")</f>
        <v/>
      </c>
      <c r="C77" s="59"/>
      <c r="D77" s="60" t="str">
        <f>IFERROR(IF($B$54&lt;&gt;"",IF($C77&lt;&gt;"",1-($C77/$B77),"Sin informar el importe ofertado"),"No ha indicado disponibilidad"),"")</f>
        <v>No ha indicado disponibilidad</v>
      </c>
      <c r="F77" s="50">
        <v>2</v>
      </c>
      <c r="G77" s="49">
        <f>IF($B$54&lt;&gt;"No",IFERROR(ROUND((POWER($D77,0.5))*$F77,2),0),0)</f>
        <v>0</v>
      </c>
    </row>
    <row r="78" spans="1:7" s="22" customFormat="1" ht="15" customHeight="1" x14ac:dyDescent="0.25">
      <c r="A78" s="58" t="s">
        <v>41</v>
      </c>
      <c r="B78" s="9" t="str">
        <f>IFERROR(VLOOKUP($B$3,Criterios!$B$22:$N$35,8,FALSE),"")</f>
        <v/>
      </c>
      <c r="C78" s="59"/>
      <c r="D78" s="60" t="str">
        <f>IFERROR(IF($B$54&lt;&gt;"",IF($C78&lt;&gt;"",1-($C78/$B78),"Sin informar el importe ofertado"),"No ha indicado disponibilidad"),"")</f>
        <v>No ha indicado disponibilidad</v>
      </c>
      <c r="F78" s="50">
        <v>5</v>
      </c>
      <c r="G78" s="49">
        <f>IF($B$54&lt;&gt;"No",IFERROR(ROUND((POWER($D78,0.5))*$F78,2),0),0)</f>
        <v>0</v>
      </c>
    </row>
    <row r="79" spans="1:7" ht="15" customHeight="1" x14ac:dyDescent="0.25">
      <c r="A79" s="30" t="s">
        <v>45</v>
      </c>
      <c r="B79" s="9" t="str">
        <f>IFERROR(VLOOKUP($B$3,Criterios!$B$22:$N$35,9,FALSE),"")</f>
        <v/>
      </c>
      <c r="C79" s="34"/>
      <c r="D79" s="32" t="str">
        <f>IFERROR(IF($B55="Si",IF($C79&lt;&gt;"",1-($C79/$B79),"Sin informar el importe ofertado"),"No ha indicado disponibilidad"),"")</f>
        <v>No ha indicado disponibilidad</v>
      </c>
      <c r="F79" s="50">
        <v>4</v>
      </c>
      <c r="G79" s="49">
        <f>IF($B55="Si",IFERROR(ROUND((POWER($D79,0.5))*$F79,2),0),0)</f>
        <v>0</v>
      </c>
    </row>
    <row r="80" spans="1:7" ht="13.15" customHeight="1" x14ac:dyDescent="0.25">
      <c r="A80" s="68" t="s">
        <v>162</v>
      </c>
      <c r="B80" s="73" t="s">
        <v>163</v>
      </c>
      <c r="C80" s="2"/>
      <c r="D80" s="38"/>
      <c r="E80" s="5"/>
      <c r="F80" s="10"/>
      <c r="G80" s="4">
        <f>SUM(G38:G79)</f>
        <v>0</v>
      </c>
    </row>
    <row r="81" spans="1:4" hidden="1" x14ac:dyDescent="0.25">
      <c r="A81" s="30" t="s">
        <v>164</v>
      </c>
      <c r="B81" s="78"/>
    </row>
    <row r="82" spans="1:4" s="15" customFormat="1" x14ac:dyDescent="0.25">
      <c r="A82" s="58" t="s">
        <v>165</v>
      </c>
      <c r="B82" s="79"/>
      <c r="C82" s="2"/>
      <c r="D82" s="38"/>
    </row>
    <row r="83" spans="1:4" x14ac:dyDescent="0.25">
      <c r="A83" s="58" t="s">
        <v>166</v>
      </c>
      <c r="B83" s="79"/>
      <c r="C83" s="17"/>
      <c r="D83" s="17"/>
    </row>
  </sheetData>
  <sheetProtection algorithmName="SHA-512" hashValue="olLCqcCgWIJO3IGjb/yhqgu/IvWqIkxPLbc43z+26Yaf3Y68diXqEWtafQhWWzHIZ7CiMXxi6jcdGd+WExSzkw==" saltValue="31iFGrPKombgZV3IYOAAag==" spinCount="100000" sheet="1" objects="1" scenarios="1"/>
  <mergeCells count="38">
    <mergeCell ref="B6:D6"/>
    <mergeCell ref="A1:D1"/>
    <mergeCell ref="A2:D2"/>
    <mergeCell ref="B3:D3"/>
    <mergeCell ref="B4:D4"/>
    <mergeCell ref="B5:D5"/>
    <mergeCell ref="B21:D21"/>
    <mergeCell ref="B7:D7"/>
    <mergeCell ref="A9:D9"/>
    <mergeCell ref="B10:D10"/>
    <mergeCell ref="B11:D11"/>
    <mergeCell ref="A12:D12"/>
    <mergeCell ref="A13:D13"/>
    <mergeCell ref="B14:D14"/>
    <mergeCell ref="B15:D15"/>
    <mergeCell ref="B18:D18"/>
    <mergeCell ref="B19:D19"/>
    <mergeCell ref="B20:D20"/>
    <mergeCell ref="A36:D36"/>
    <mergeCell ref="A22:D22"/>
    <mergeCell ref="B23:D23"/>
    <mergeCell ref="B24:D24"/>
    <mergeCell ref="B25:D25"/>
    <mergeCell ref="A26:D26"/>
    <mergeCell ref="B27:D27"/>
    <mergeCell ref="B28:D28"/>
    <mergeCell ref="B29:D29"/>
    <mergeCell ref="A30:D30"/>
    <mergeCell ref="A31:D31"/>
    <mergeCell ref="A35:D35"/>
    <mergeCell ref="A67:D67"/>
    <mergeCell ref="A68:D68"/>
    <mergeCell ref="A46:D46"/>
    <mergeCell ref="A62:D62"/>
    <mergeCell ref="B63:D63"/>
    <mergeCell ref="B64:D64"/>
    <mergeCell ref="B65:D65"/>
    <mergeCell ref="B66:D66"/>
  </mergeCells>
  <conditionalFormatting sqref="C38:C39">
    <cfRule type="expression" dxfId="8" priority="9">
      <formula>AND(B38="Si",C38="")</formula>
    </cfRule>
  </conditionalFormatting>
  <conditionalFormatting sqref="D38:D39">
    <cfRule type="expression" dxfId="7" priority="8">
      <formula>AND(B38="Si",D38="")</formula>
    </cfRule>
  </conditionalFormatting>
  <conditionalFormatting sqref="C48:C49">
    <cfRule type="expression" dxfId="6" priority="7">
      <formula>AND(B48="Si",C48="")</formula>
    </cfRule>
  </conditionalFormatting>
  <conditionalFormatting sqref="D48:D49">
    <cfRule type="expression" dxfId="5" priority="6">
      <formula>AND(B48="Si",D48="")</formula>
    </cfRule>
  </conditionalFormatting>
  <conditionalFormatting sqref="C51 C55">
    <cfRule type="expression" dxfId="4" priority="5">
      <formula>AND(B51="Si",C51="")</formula>
    </cfRule>
  </conditionalFormatting>
  <conditionalFormatting sqref="C54">
    <cfRule type="expression" dxfId="3" priority="4">
      <formula>AND(OR(B54="Convencional",B54="Digital"),C54="")</formula>
    </cfRule>
  </conditionalFormatting>
  <conditionalFormatting sqref="C70">
    <cfRule type="expression" dxfId="2" priority="3">
      <formula>$C$70=""</formula>
    </cfRule>
  </conditionalFormatting>
  <conditionalFormatting sqref="C71:C72">
    <cfRule type="expression" dxfId="1" priority="2">
      <formula>$C$70=""</formula>
    </cfRule>
  </conditionalFormatting>
  <conditionalFormatting sqref="C50">
    <cfRule type="expression" dxfId="0" priority="1">
      <formula>AND(B50="Si",C50="")</formula>
    </cfRule>
  </conditionalFormatting>
  <dataValidations count="2">
    <dataValidation type="custom" allowBlank="1" showInputMessage="1" showErrorMessage="1" sqref="C75:C76" xr:uid="{F531EB56-318F-4BF0-8707-1B2DD9102E50}">
      <formula1>AND(C75=MROUND(C75,0.1),C75&lt;=XEZ75)</formula1>
    </dataValidation>
    <dataValidation type="custom" allowBlank="1" showInputMessage="1" showErrorMessage="1" errorTitle="Validación dato introducido" error="El importe debe ser menor o igual al máximo de ese servicio y múltiplo de 0,1€" sqref="C70:C72 C74 C77:C79" xr:uid="{87F75AA0-8A78-45DC-BF8B-9DAC25C0C9C2}">
      <formula1>AND(C70=MROUND(C70,0.1),C70&lt;=B70)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1930AA6-2FEB-4D98-AE87-3EB09BAC5294}">
          <x14:formula1>
            <xm:f>Criterios!$B$8:$B$10</xm:f>
          </x14:formula1>
          <xm:sqref>B54</xm:sqref>
        </x14:dataValidation>
        <x14:dataValidation type="list" allowBlank="1" showInputMessage="1" showErrorMessage="1" xr:uid="{3C0475B1-A307-40F5-B56D-412400A49E56}">
          <x14:formula1>
            <xm:f>Criterios!$Y$2:$Y$52</xm:f>
          </x14:formula1>
          <xm:sqref>D8</xm:sqref>
        </x14:dataValidation>
        <x14:dataValidation type="list" allowBlank="1" showInputMessage="1" showErrorMessage="1" xr:uid="{6347E40D-DCBC-4273-974D-4397199D776A}">
          <x14:formula1>
            <xm:f>Criterios!$T$14:$T$16</xm:f>
          </x14:formula1>
          <xm:sqref>B66:D66</xm:sqref>
        </x14:dataValidation>
        <x14:dataValidation type="list" allowBlank="1" showInputMessage="1" showErrorMessage="1" xr:uid="{CBE90F1B-5E16-4DF1-9F9A-7C807036CDF6}">
          <x14:formula1>
            <xm:f>Criterios!$N$17:$N$18</xm:f>
          </x14:formula1>
          <xm:sqref>D39 D49</xm:sqref>
        </x14:dataValidation>
        <x14:dataValidation type="list" allowBlank="1" showInputMessage="1" showErrorMessage="1" xr:uid="{0148030E-E42E-4409-B3DF-2A14A576028A}">
          <x14:formula1>
            <xm:f>Criterios!$N$13:$N$14</xm:f>
          </x14:formula1>
          <xm:sqref>D38 D48</xm:sqref>
        </x14:dataValidation>
        <x14:dataValidation type="list" allowBlank="1" showInputMessage="1" showErrorMessage="1" xr:uid="{BE96F7CE-72E9-4DDC-A75C-E967871DE211}">
          <x14:formula1>
            <xm:f>Criterios!$B$2:$B$3</xm:f>
          </x14:formula1>
          <xm:sqref>B42:B44 B64:D65 B57:B61 B32:B34 B55 B38:B40 B48:B53</xm:sqref>
        </x14:dataValidation>
        <x14:dataValidation type="list" allowBlank="1" showInputMessage="1" showErrorMessage="1" xr:uid="{719977AC-E932-4D84-91F7-CAD373514DA0}">
          <x14:formula1>
            <xm:f>Criterios!$K$2:$K$5</xm:f>
          </x14:formula1>
          <xm:sqref>B63:D63</xm:sqref>
        </x14:dataValidation>
        <x14:dataValidation type="list" allowBlank="1" showInputMessage="1" showErrorMessage="1" xr:uid="{6B8B3A7E-F3B4-4A19-B742-8844526569AE}">
          <x14:formula1>
            <xm:f>Criterios!$B$24:$B$29</xm:f>
          </x14:formula1>
          <xm:sqref>B3:D3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B1:Y52"/>
  <sheetViews>
    <sheetView workbookViewId="0">
      <selection activeCell="C11" sqref="C11"/>
    </sheetView>
  </sheetViews>
  <sheetFormatPr baseColWidth="10" defaultRowHeight="15" x14ac:dyDescent="0.25"/>
  <cols>
    <col min="1" max="1" width="7" customWidth="1"/>
    <col min="2" max="2" width="8.28515625" customWidth="1"/>
    <col min="3" max="3" width="20.5703125" bestFit="1" customWidth="1"/>
    <col min="4" max="4" width="5.28515625" customWidth="1"/>
    <col min="5" max="5" width="14.5703125" customWidth="1"/>
    <col min="6" max="6" width="9.85546875" customWidth="1"/>
    <col min="7" max="7" width="4.7109375" customWidth="1"/>
    <col min="8" max="8" width="6.5703125" customWidth="1"/>
    <col min="9" max="9" width="6.42578125" customWidth="1"/>
    <col min="10" max="10" width="6.28515625" customWidth="1"/>
    <col min="11" max="11" width="11.140625" customWidth="1"/>
    <col min="12" max="12" width="9.5703125" customWidth="1"/>
    <col min="13" max="13" width="4.7109375" customWidth="1"/>
    <col min="14" max="15" width="8.28515625" customWidth="1"/>
    <col min="16" max="16" width="5.7109375" customWidth="1"/>
    <col min="17" max="17" width="22.7109375" customWidth="1"/>
    <col min="18" max="18" width="3" bestFit="1" customWidth="1"/>
    <col min="19" max="19" width="5.85546875" customWidth="1"/>
    <col min="20" max="21" width="8.7109375" customWidth="1"/>
    <col min="22" max="22" width="7.28515625" customWidth="1"/>
    <col min="24" max="24" width="12" customWidth="1"/>
  </cols>
  <sheetData>
    <row r="1" spans="2:25" ht="30" x14ac:dyDescent="0.25">
      <c r="B1" s="145" t="s">
        <v>11</v>
      </c>
      <c r="C1" s="145"/>
      <c r="D1" s="4"/>
      <c r="E1" s="145" t="s">
        <v>17</v>
      </c>
      <c r="F1" s="145"/>
      <c r="G1" s="12"/>
      <c r="H1" s="149" t="s">
        <v>28</v>
      </c>
      <c r="I1" s="150"/>
      <c r="J1" s="12"/>
      <c r="K1" s="146" t="s">
        <v>44</v>
      </c>
      <c r="L1" s="148"/>
      <c r="N1" s="146" t="s">
        <v>43</v>
      </c>
      <c r="O1" s="148"/>
      <c r="P1" s="26"/>
      <c r="Q1" s="149" t="s">
        <v>12</v>
      </c>
      <c r="R1" s="150"/>
      <c r="T1" s="145" t="s">
        <v>15</v>
      </c>
      <c r="U1" s="145"/>
      <c r="X1" s="51" t="s">
        <v>106</v>
      </c>
      <c r="Y1" s="51" t="s">
        <v>56</v>
      </c>
    </row>
    <row r="2" spans="2:25" x14ac:dyDescent="0.25">
      <c r="B2" s="1" t="s">
        <v>10</v>
      </c>
      <c r="C2" s="20">
        <v>0</v>
      </c>
      <c r="D2" s="6"/>
      <c r="E2" s="14" t="s">
        <v>10</v>
      </c>
      <c r="F2" s="3">
        <v>0</v>
      </c>
      <c r="G2" s="4"/>
      <c r="H2" s="8" t="s">
        <v>10</v>
      </c>
      <c r="I2" s="20">
        <v>0</v>
      </c>
      <c r="J2" s="4"/>
      <c r="K2" s="28" t="s">
        <v>10</v>
      </c>
      <c r="L2" s="3">
        <v>0</v>
      </c>
      <c r="N2" s="28" t="s">
        <v>10</v>
      </c>
      <c r="O2" s="3">
        <v>0</v>
      </c>
      <c r="P2" s="27"/>
      <c r="Q2" s="8" t="s">
        <v>10</v>
      </c>
      <c r="R2" s="23">
        <v>0</v>
      </c>
      <c r="T2" s="105" t="s">
        <v>7</v>
      </c>
      <c r="U2" s="105" t="s">
        <v>8</v>
      </c>
      <c r="X2" s="51">
        <v>1</v>
      </c>
      <c r="Y2" s="51" t="s">
        <v>107</v>
      </c>
    </row>
    <row r="3" spans="2:25" x14ac:dyDescent="0.25">
      <c r="B3" s="1" t="s">
        <v>9</v>
      </c>
      <c r="C3" s="20">
        <v>1</v>
      </c>
      <c r="D3" s="11"/>
      <c r="E3" s="16" t="s">
        <v>18</v>
      </c>
      <c r="F3" s="3">
        <v>3</v>
      </c>
      <c r="G3" s="4"/>
      <c r="H3" s="8" t="s">
        <v>9</v>
      </c>
      <c r="I3" s="20">
        <v>1</v>
      </c>
      <c r="J3" s="4"/>
      <c r="K3" s="1" t="s">
        <v>13</v>
      </c>
      <c r="L3" s="20">
        <v>1</v>
      </c>
      <c r="N3" s="1" t="s">
        <v>13</v>
      </c>
      <c r="O3" s="29">
        <v>4</v>
      </c>
      <c r="P3" s="26"/>
      <c r="Q3" s="8" t="s">
        <v>9</v>
      </c>
      <c r="R3" s="23">
        <v>1</v>
      </c>
      <c r="T3" s="1" t="s">
        <v>10</v>
      </c>
      <c r="U3" s="7">
        <v>0</v>
      </c>
      <c r="X3" s="51">
        <v>2</v>
      </c>
      <c r="Y3" s="51" t="s">
        <v>108</v>
      </c>
    </row>
    <row r="4" spans="2:25" x14ac:dyDescent="0.25">
      <c r="D4" s="4"/>
      <c r="E4" s="16" t="s">
        <v>19</v>
      </c>
      <c r="F4" s="3">
        <v>4.5</v>
      </c>
      <c r="H4" s="5"/>
      <c r="K4" s="1" t="s">
        <v>14</v>
      </c>
      <c r="L4" s="20">
        <v>2</v>
      </c>
      <c r="N4" s="1" t="s">
        <v>14</v>
      </c>
      <c r="O4" s="29">
        <v>6</v>
      </c>
      <c r="P4" s="26"/>
      <c r="Q4" s="26"/>
      <c r="T4" s="1" t="s">
        <v>9</v>
      </c>
      <c r="U4" s="20">
        <v>5</v>
      </c>
      <c r="X4" s="51">
        <v>3</v>
      </c>
      <c r="Y4" s="51" t="s">
        <v>109</v>
      </c>
    </row>
    <row r="5" spans="2:25" x14ac:dyDescent="0.25">
      <c r="D5" s="4"/>
      <c r="E5" s="16" t="s">
        <v>20</v>
      </c>
      <c r="F5" s="3">
        <v>6</v>
      </c>
      <c r="H5" s="149" t="s">
        <v>29</v>
      </c>
      <c r="I5" s="150"/>
      <c r="K5" s="1" t="s">
        <v>31</v>
      </c>
      <c r="L5" s="23">
        <v>3</v>
      </c>
      <c r="N5" s="1" t="s">
        <v>31</v>
      </c>
      <c r="O5" s="29">
        <v>9</v>
      </c>
      <c r="P5" s="26"/>
      <c r="Q5" s="26"/>
      <c r="X5" s="51">
        <v>4</v>
      </c>
      <c r="Y5" s="51" t="s">
        <v>110</v>
      </c>
    </row>
    <row r="6" spans="2:25" x14ac:dyDescent="0.25">
      <c r="D6" s="4"/>
      <c r="E6" s="17"/>
      <c r="F6" s="11"/>
      <c r="H6" s="8" t="s">
        <v>10</v>
      </c>
      <c r="I6" s="23">
        <v>0</v>
      </c>
      <c r="K6" s="17"/>
      <c r="L6" s="4"/>
      <c r="N6" s="8"/>
      <c r="O6" s="24"/>
      <c r="P6" s="26"/>
      <c r="Q6" s="26"/>
      <c r="X6" s="51">
        <v>5</v>
      </c>
      <c r="Y6" s="51" t="s">
        <v>111</v>
      </c>
    </row>
    <row r="7" spans="2:25" x14ac:dyDescent="0.25">
      <c r="B7" s="146" t="s">
        <v>204</v>
      </c>
      <c r="C7" s="147"/>
      <c r="D7" s="4"/>
      <c r="E7" s="145" t="s">
        <v>21</v>
      </c>
      <c r="F7" s="145"/>
      <c r="H7" s="8" t="s">
        <v>9</v>
      </c>
      <c r="I7" s="23">
        <v>2.5</v>
      </c>
      <c r="K7" s="17"/>
      <c r="L7" s="4"/>
      <c r="N7" s="8"/>
      <c r="O7" s="24"/>
      <c r="P7" s="5"/>
      <c r="Q7" s="5"/>
      <c r="T7" s="145" t="s">
        <v>32</v>
      </c>
      <c r="U7" s="145"/>
      <c r="X7" s="51">
        <v>6</v>
      </c>
      <c r="Y7" s="51" t="s">
        <v>112</v>
      </c>
    </row>
    <row r="8" spans="2:25" ht="30" x14ac:dyDescent="0.25">
      <c r="B8" s="1" t="s">
        <v>10</v>
      </c>
      <c r="C8" s="1">
        <v>0</v>
      </c>
      <c r="D8" s="4"/>
      <c r="E8" s="14" t="s">
        <v>10</v>
      </c>
      <c r="F8" s="3">
        <v>0</v>
      </c>
      <c r="H8" s="5"/>
      <c r="K8" s="17"/>
      <c r="L8" s="4"/>
      <c r="N8" s="8"/>
      <c r="O8" s="24"/>
      <c r="T8" s="105" t="s">
        <v>7</v>
      </c>
      <c r="U8" s="105" t="s">
        <v>8</v>
      </c>
      <c r="X8" s="51">
        <v>7</v>
      </c>
      <c r="Y8" s="51" t="s">
        <v>113</v>
      </c>
    </row>
    <row r="9" spans="2:25" ht="30" x14ac:dyDescent="0.25">
      <c r="B9" s="1" t="s">
        <v>77</v>
      </c>
      <c r="C9" s="1">
        <v>2</v>
      </c>
      <c r="E9" s="16" t="s">
        <v>22</v>
      </c>
      <c r="F9" s="3">
        <v>1</v>
      </c>
      <c r="H9" s="5"/>
      <c r="K9" s="13"/>
      <c r="L9" s="4"/>
      <c r="N9" s="8"/>
      <c r="O9" s="24"/>
      <c r="T9" s="1" t="s">
        <v>10</v>
      </c>
      <c r="U9" s="7">
        <v>0</v>
      </c>
      <c r="X9" s="51">
        <v>8</v>
      </c>
      <c r="Y9" s="51" t="s">
        <v>114</v>
      </c>
    </row>
    <row r="10" spans="2:25" x14ac:dyDescent="0.25">
      <c r="B10" s="1" t="s">
        <v>78</v>
      </c>
      <c r="C10" s="1">
        <v>5</v>
      </c>
      <c r="E10" s="16" t="s">
        <v>23</v>
      </c>
      <c r="F10" s="3">
        <v>2</v>
      </c>
      <c r="H10" s="151" t="s">
        <v>30</v>
      </c>
      <c r="I10" s="152"/>
      <c r="N10" s="8"/>
      <c r="O10" s="24"/>
      <c r="T10" s="1" t="s">
        <v>9</v>
      </c>
      <c r="U10" s="23">
        <v>4</v>
      </c>
      <c r="X10" s="51">
        <v>9</v>
      </c>
      <c r="Y10" s="51" t="s">
        <v>115</v>
      </c>
    </row>
    <row r="11" spans="2:25" x14ac:dyDescent="0.25">
      <c r="H11" s="8" t="s">
        <v>10</v>
      </c>
      <c r="I11" s="23">
        <v>0</v>
      </c>
      <c r="X11" s="51">
        <v>10</v>
      </c>
      <c r="Y11" s="51" t="s">
        <v>116</v>
      </c>
    </row>
    <row r="12" spans="2:25" x14ac:dyDescent="0.25">
      <c r="B12" s="146" t="s">
        <v>206</v>
      </c>
      <c r="C12" s="147"/>
      <c r="E12" s="145" t="s">
        <v>24</v>
      </c>
      <c r="F12" s="145"/>
      <c r="H12" s="8" t="s">
        <v>9</v>
      </c>
      <c r="I12" s="23">
        <v>1</v>
      </c>
      <c r="K12" s="146" t="s">
        <v>200</v>
      </c>
      <c r="L12" s="147"/>
      <c r="N12" s="146" t="s">
        <v>201</v>
      </c>
      <c r="O12" s="147"/>
      <c r="Q12" s="146" t="s">
        <v>217</v>
      </c>
      <c r="R12" s="147"/>
      <c r="T12" s="145" t="s">
        <v>50</v>
      </c>
      <c r="U12" s="145"/>
      <c r="X12" s="51">
        <v>11</v>
      </c>
      <c r="Y12" s="51" t="s">
        <v>117</v>
      </c>
    </row>
    <row r="13" spans="2:25" x14ac:dyDescent="0.25">
      <c r="B13" s="1" t="s">
        <v>10</v>
      </c>
      <c r="C13" s="1">
        <v>0</v>
      </c>
      <c r="E13" s="14" t="s">
        <v>10</v>
      </c>
      <c r="F13" s="3">
        <v>0</v>
      </c>
      <c r="H13" s="5"/>
      <c r="K13" s="28" t="s">
        <v>79</v>
      </c>
      <c r="L13" s="28">
        <v>0</v>
      </c>
      <c r="N13" s="1" t="s">
        <v>79</v>
      </c>
      <c r="O13" s="1">
        <v>0</v>
      </c>
      <c r="Q13" s="1" t="s">
        <v>79</v>
      </c>
      <c r="R13" s="1">
        <v>0</v>
      </c>
      <c r="T13" s="105" t="s">
        <v>7</v>
      </c>
      <c r="U13" s="105" t="s">
        <v>8</v>
      </c>
      <c r="X13" s="51">
        <v>12</v>
      </c>
      <c r="Y13" s="51" t="s">
        <v>118</v>
      </c>
    </row>
    <row r="14" spans="2:25" ht="30" x14ac:dyDescent="0.25">
      <c r="B14" s="1" t="s">
        <v>77</v>
      </c>
      <c r="C14" s="1">
        <v>2</v>
      </c>
      <c r="E14" s="16" t="s">
        <v>25</v>
      </c>
      <c r="F14" s="3">
        <v>1</v>
      </c>
      <c r="K14" s="28" t="s">
        <v>80</v>
      </c>
      <c r="L14" s="28">
        <v>5</v>
      </c>
      <c r="N14" s="1" t="s">
        <v>80</v>
      </c>
      <c r="O14" s="1">
        <v>15</v>
      </c>
      <c r="Q14" s="1" t="s">
        <v>80</v>
      </c>
      <c r="R14" s="1">
        <v>5</v>
      </c>
      <c r="T14" s="1" t="s">
        <v>10</v>
      </c>
      <c r="U14" s="7">
        <v>0</v>
      </c>
      <c r="X14" s="51">
        <v>13</v>
      </c>
      <c r="Y14" s="51" t="s">
        <v>119</v>
      </c>
    </row>
    <row r="15" spans="2:25" x14ac:dyDescent="0.25">
      <c r="B15" s="1" t="s">
        <v>78</v>
      </c>
      <c r="C15" s="1">
        <v>5</v>
      </c>
      <c r="E15" s="16" t="s">
        <v>26</v>
      </c>
      <c r="F15" s="25">
        <v>2</v>
      </c>
      <c r="K15" s="17"/>
      <c r="L15" s="17"/>
      <c r="N15" s="1"/>
      <c r="O15" s="1"/>
      <c r="Q15" s="1"/>
      <c r="R15" s="1"/>
      <c r="T15" s="1" t="s">
        <v>51</v>
      </c>
      <c r="U15" s="29">
        <v>2</v>
      </c>
      <c r="X15" s="51">
        <v>14</v>
      </c>
      <c r="Y15" s="51" t="s">
        <v>120</v>
      </c>
    </row>
    <row r="16" spans="2:25" x14ac:dyDescent="0.25">
      <c r="B16" s="17"/>
      <c r="E16" s="16" t="s">
        <v>27</v>
      </c>
      <c r="F16" s="3">
        <v>3</v>
      </c>
      <c r="K16" s="146" t="s">
        <v>203</v>
      </c>
      <c r="L16" s="147"/>
      <c r="N16" s="146" t="s">
        <v>202</v>
      </c>
      <c r="O16" s="147"/>
      <c r="Q16" s="146" t="s">
        <v>216</v>
      </c>
      <c r="R16" s="147"/>
      <c r="T16" s="1" t="s">
        <v>52</v>
      </c>
      <c r="U16" s="29">
        <v>5</v>
      </c>
      <c r="X16" s="51">
        <v>15</v>
      </c>
      <c r="Y16" s="51" t="s">
        <v>121</v>
      </c>
    </row>
    <row r="17" spans="2:25" x14ac:dyDescent="0.25">
      <c r="B17" s="146" t="s">
        <v>209</v>
      </c>
      <c r="C17" s="147"/>
      <c r="E17" s="146" t="s">
        <v>213</v>
      </c>
      <c r="F17" s="147"/>
      <c r="K17" s="1" t="s">
        <v>81</v>
      </c>
      <c r="L17" s="1">
        <v>0</v>
      </c>
      <c r="N17" s="1" t="s">
        <v>81</v>
      </c>
      <c r="O17" s="1">
        <v>0</v>
      </c>
      <c r="Q17" s="1" t="s">
        <v>81</v>
      </c>
      <c r="R17" s="1">
        <v>0</v>
      </c>
      <c r="X17" s="51">
        <v>16</v>
      </c>
      <c r="Y17" s="51" t="s">
        <v>122</v>
      </c>
    </row>
    <row r="18" spans="2:25" x14ac:dyDescent="0.25">
      <c r="B18" s="1" t="s">
        <v>10</v>
      </c>
      <c r="C18" s="1">
        <v>0</v>
      </c>
      <c r="E18" s="1" t="s">
        <v>10</v>
      </c>
      <c r="F18" s="1">
        <v>0</v>
      </c>
      <c r="K18" s="1" t="s">
        <v>82</v>
      </c>
      <c r="L18" s="1">
        <v>5</v>
      </c>
      <c r="N18" s="1" t="s">
        <v>82</v>
      </c>
      <c r="O18" s="1">
        <v>13</v>
      </c>
      <c r="Q18" s="1" t="s">
        <v>82</v>
      </c>
      <c r="R18" s="1">
        <v>5</v>
      </c>
      <c r="X18" s="51">
        <v>17</v>
      </c>
      <c r="Y18" s="51" t="s">
        <v>123</v>
      </c>
    </row>
    <row r="19" spans="2:25" x14ac:dyDescent="0.25">
      <c r="B19" s="1" t="s">
        <v>77</v>
      </c>
      <c r="C19" s="1">
        <v>2</v>
      </c>
      <c r="E19" s="1" t="s">
        <v>77</v>
      </c>
      <c r="F19" s="1">
        <v>2</v>
      </c>
      <c r="X19" s="51">
        <v>18</v>
      </c>
      <c r="Y19" s="51" t="s">
        <v>124</v>
      </c>
    </row>
    <row r="20" spans="2:25" ht="30" x14ac:dyDescent="0.25">
      <c r="B20" s="1" t="s">
        <v>78</v>
      </c>
      <c r="C20" s="1">
        <v>5</v>
      </c>
      <c r="E20" s="1" t="s">
        <v>78</v>
      </c>
      <c r="F20" s="1">
        <v>5</v>
      </c>
      <c r="L20" s="17"/>
      <c r="M20" s="17"/>
      <c r="N20" s="17"/>
      <c r="X20" s="51">
        <v>19</v>
      </c>
      <c r="Y20" s="51" t="s">
        <v>125</v>
      </c>
    </row>
    <row r="21" spans="2:25" x14ac:dyDescent="0.25">
      <c r="B21" s="103" t="s">
        <v>33</v>
      </c>
      <c r="C21" s="103" t="s">
        <v>34</v>
      </c>
      <c r="D21" s="103" t="s">
        <v>39</v>
      </c>
      <c r="E21" s="103" t="s">
        <v>40</v>
      </c>
      <c r="F21" s="104" t="s">
        <v>168</v>
      </c>
      <c r="G21" s="104" t="s">
        <v>194</v>
      </c>
      <c r="H21" s="104" t="s">
        <v>195</v>
      </c>
      <c r="I21" s="104" t="s">
        <v>196</v>
      </c>
      <c r="J21" s="104" t="s">
        <v>197</v>
      </c>
      <c r="K21" s="104" t="s">
        <v>198</v>
      </c>
      <c r="L21" s="104" t="s">
        <v>199</v>
      </c>
      <c r="N21" t="s">
        <v>56</v>
      </c>
      <c r="X21" s="51">
        <v>20</v>
      </c>
      <c r="Y21" s="51" t="s">
        <v>126</v>
      </c>
    </row>
    <row r="22" spans="2:25" s="33" customFormat="1" x14ac:dyDescent="0.25">
      <c r="B22" s="97">
        <v>1</v>
      </c>
      <c r="C22" s="1" t="s">
        <v>173</v>
      </c>
      <c r="D22" s="1">
        <v>109</v>
      </c>
      <c r="E22" s="1"/>
      <c r="F22" s="1"/>
      <c r="G22" s="1">
        <v>90</v>
      </c>
      <c r="H22" s="28">
        <v>30</v>
      </c>
      <c r="I22" s="28">
        <v>15</v>
      </c>
      <c r="J22" s="28">
        <v>250</v>
      </c>
      <c r="K22" s="28">
        <v>120</v>
      </c>
      <c r="L22" s="28">
        <v>150</v>
      </c>
      <c r="N22" t="s">
        <v>188</v>
      </c>
      <c r="X22" s="51">
        <v>21</v>
      </c>
      <c r="Y22" s="51" t="s">
        <v>127</v>
      </c>
    </row>
    <row r="23" spans="2:25" x14ac:dyDescent="0.25">
      <c r="B23" s="97">
        <v>2</v>
      </c>
      <c r="C23" s="1" t="s">
        <v>174</v>
      </c>
      <c r="D23" s="1"/>
      <c r="E23" s="1">
        <v>55</v>
      </c>
      <c r="F23" s="1"/>
      <c r="G23" s="1">
        <v>90</v>
      </c>
      <c r="H23" s="28">
        <v>30</v>
      </c>
      <c r="I23" s="28">
        <v>15</v>
      </c>
      <c r="J23" s="28">
        <v>250</v>
      </c>
      <c r="K23" s="28">
        <v>120</v>
      </c>
      <c r="L23" s="28">
        <v>150</v>
      </c>
      <c r="N23" t="s">
        <v>188</v>
      </c>
      <c r="X23" s="51">
        <v>22</v>
      </c>
      <c r="Y23" s="51" t="s">
        <v>128</v>
      </c>
    </row>
    <row r="24" spans="2:25" x14ac:dyDescent="0.25">
      <c r="B24" s="97">
        <v>3</v>
      </c>
      <c r="C24" s="1" t="s">
        <v>175</v>
      </c>
      <c r="D24" s="1"/>
      <c r="E24" s="1"/>
      <c r="F24" s="1">
        <v>123</v>
      </c>
      <c r="G24" s="1">
        <v>90</v>
      </c>
      <c r="H24" s="28">
        <v>30</v>
      </c>
      <c r="I24" s="28">
        <v>15</v>
      </c>
      <c r="J24" s="28">
        <v>250</v>
      </c>
      <c r="K24" s="28">
        <v>120</v>
      </c>
      <c r="L24" s="28">
        <v>150</v>
      </c>
      <c r="N24" t="s">
        <v>188</v>
      </c>
      <c r="X24" s="51">
        <v>23</v>
      </c>
      <c r="Y24" s="51" t="s">
        <v>129</v>
      </c>
    </row>
    <row r="25" spans="2:25" x14ac:dyDescent="0.25">
      <c r="B25" s="97">
        <v>5</v>
      </c>
      <c r="C25" s="1" t="s">
        <v>177</v>
      </c>
      <c r="D25" s="1"/>
      <c r="E25" s="1"/>
      <c r="F25" s="1">
        <v>127</v>
      </c>
      <c r="G25" s="1">
        <v>90</v>
      </c>
      <c r="H25" s="28">
        <v>30</v>
      </c>
      <c r="I25" s="28">
        <v>15</v>
      </c>
      <c r="J25" s="28">
        <v>250</v>
      </c>
      <c r="K25" s="28">
        <v>120</v>
      </c>
      <c r="L25" s="28">
        <v>150</v>
      </c>
      <c r="N25" t="s">
        <v>189</v>
      </c>
      <c r="X25" s="51">
        <v>24</v>
      </c>
      <c r="Y25" s="51" t="s">
        <v>130</v>
      </c>
    </row>
    <row r="26" spans="2:25" x14ac:dyDescent="0.25">
      <c r="B26" s="97">
        <v>7</v>
      </c>
      <c r="C26" s="28" t="s">
        <v>179</v>
      </c>
      <c r="D26" s="1"/>
      <c r="E26" s="1"/>
      <c r="F26" s="1">
        <v>97</v>
      </c>
      <c r="G26" s="1">
        <v>90</v>
      </c>
      <c r="H26" s="28">
        <v>30</v>
      </c>
      <c r="I26" s="28">
        <v>15</v>
      </c>
      <c r="J26" s="28">
        <v>250</v>
      </c>
      <c r="K26" s="28">
        <v>120</v>
      </c>
      <c r="L26" s="28">
        <v>150</v>
      </c>
      <c r="N26" t="s">
        <v>189</v>
      </c>
      <c r="X26" s="51">
        <v>25</v>
      </c>
      <c r="Y26" s="51" t="s">
        <v>131</v>
      </c>
    </row>
    <row r="27" spans="2:25" x14ac:dyDescent="0.25">
      <c r="B27" s="97">
        <v>9</v>
      </c>
      <c r="C27" s="28" t="s">
        <v>182</v>
      </c>
      <c r="D27" s="1"/>
      <c r="E27" s="1"/>
      <c r="F27" s="1">
        <v>106</v>
      </c>
      <c r="G27" s="1">
        <v>90</v>
      </c>
      <c r="H27" s="28">
        <v>30</v>
      </c>
      <c r="I27" s="28">
        <v>15</v>
      </c>
      <c r="J27" s="28">
        <v>250</v>
      </c>
      <c r="K27" s="28">
        <v>120</v>
      </c>
      <c r="L27" s="28">
        <v>150</v>
      </c>
      <c r="N27" t="s">
        <v>180</v>
      </c>
      <c r="X27" s="51">
        <v>26</v>
      </c>
      <c r="Y27" s="51" t="s">
        <v>132</v>
      </c>
    </row>
    <row r="28" spans="2:25" x14ac:dyDescent="0.25">
      <c r="B28" s="97">
        <v>11</v>
      </c>
      <c r="C28" s="28" t="s">
        <v>184</v>
      </c>
      <c r="D28" s="1"/>
      <c r="E28" s="1"/>
      <c r="F28" s="1">
        <v>88</v>
      </c>
      <c r="G28" s="1">
        <v>90</v>
      </c>
      <c r="H28" s="28">
        <v>30</v>
      </c>
      <c r="I28" s="28">
        <v>15</v>
      </c>
      <c r="J28" s="28">
        <v>250</v>
      </c>
      <c r="K28" s="28">
        <v>120</v>
      </c>
      <c r="L28" s="28">
        <v>150</v>
      </c>
      <c r="N28" t="s">
        <v>191</v>
      </c>
      <c r="X28" s="51">
        <v>27</v>
      </c>
      <c r="Y28" s="51" t="s">
        <v>133</v>
      </c>
    </row>
    <row r="29" spans="2:25" x14ac:dyDescent="0.25">
      <c r="B29" s="97">
        <v>13</v>
      </c>
      <c r="C29" s="28" t="s">
        <v>186</v>
      </c>
      <c r="D29" s="1"/>
      <c r="E29" s="1"/>
      <c r="F29" s="1">
        <v>108</v>
      </c>
      <c r="G29" s="1">
        <v>90</v>
      </c>
      <c r="H29" s="28">
        <v>30</v>
      </c>
      <c r="I29" s="28">
        <v>15</v>
      </c>
      <c r="J29" s="28">
        <v>250</v>
      </c>
      <c r="K29" s="28">
        <v>120</v>
      </c>
      <c r="L29" s="28">
        <v>150</v>
      </c>
      <c r="N29" t="s">
        <v>192</v>
      </c>
      <c r="X29" s="51">
        <v>28</v>
      </c>
      <c r="Y29" s="51" t="s">
        <v>134</v>
      </c>
    </row>
    <row r="30" spans="2:25" x14ac:dyDescent="0.25">
      <c r="B30" s="97">
        <v>4</v>
      </c>
      <c r="C30" s="1" t="s">
        <v>176</v>
      </c>
      <c r="D30" s="1">
        <v>154</v>
      </c>
      <c r="E30" s="1">
        <v>55</v>
      </c>
      <c r="F30" s="1"/>
      <c r="G30" s="1">
        <v>127</v>
      </c>
      <c r="H30" s="28">
        <v>30</v>
      </c>
      <c r="I30" s="28">
        <v>15</v>
      </c>
      <c r="J30" s="28">
        <v>250</v>
      </c>
      <c r="K30" s="28">
        <v>120</v>
      </c>
      <c r="L30" s="28">
        <v>150</v>
      </c>
      <c r="N30" t="s">
        <v>189</v>
      </c>
      <c r="X30" s="51">
        <v>29</v>
      </c>
      <c r="Y30" s="51" t="s">
        <v>135</v>
      </c>
    </row>
    <row r="31" spans="2:25" x14ac:dyDescent="0.25">
      <c r="B31" s="97">
        <v>6</v>
      </c>
      <c r="C31" s="1" t="s">
        <v>178</v>
      </c>
      <c r="D31" s="1">
        <v>107</v>
      </c>
      <c r="E31" s="1">
        <v>48</v>
      </c>
      <c r="F31" s="1"/>
      <c r="G31" s="1">
        <v>90</v>
      </c>
      <c r="H31" s="28">
        <v>30</v>
      </c>
      <c r="I31" s="28">
        <v>15</v>
      </c>
      <c r="J31" s="28">
        <v>250</v>
      </c>
      <c r="K31" s="28">
        <v>120</v>
      </c>
      <c r="L31" s="28">
        <v>150</v>
      </c>
      <c r="N31" t="s">
        <v>190</v>
      </c>
      <c r="X31" s="51">
        <v>30</v>
      </c>
      <c r="Y31" s="51" t="s">
        <v>136</v>
      </c>
    </row>
    <row r="32" spans="2:25" x14ac:dyDescent="0.25">
      <c r="B32" s="97">
        <v>8</v>
      </c>
      <c r="C32" s="28" t="s">
        <v>181</v>
      </c>
      <c r="D32" s="1">
        <v>105</v>
      </c>
      <c r="E32" s="1">
        <v>28</v>
      </c>
      <c r="F32" s="1"/>
      <c r="G32" s="1">
        <v>90</v>
      </c>
      <c r="H32" s="28">
        <v>30</v>
      </c>
      <c r="I32" s="28">
        <v>15</v>
      </c>
      <c r="J32" s="28">
        <v>250</v>
      </c>
      <c r="K32" s="28">
        <v>120</v>
      </c>
      <c r="L32" s="28">
        <v>150</v>
      </c>
      <c r="N32" t="s">
        <v>180</v>
      </c>
      <c r="X32" s="51">
        <v>31</v>
      </c>
      <c r="Y32" s="51" t="s">
        <v>137</v>
      </c>
    </row>
    <row r="33" spans="2:25" x14ac:dyDescent="0.25">
      <c r="B33" s="97">
        <v>10</v>
      </c>
      <c r="C33" s="28" t="s">
        <v>183</v>
      </c>
      <c r="D33" s="1">
        <v>117</v>
      </c>
      <c r="E33" s="1">
        <v>63</v>
      </c>
      <c r="F33" s="1"/>
      <c r="G33" s="1">
        <v>90</v>
      </c>
      <c r="H33" s="28">
        <v>30</v>
      </c>
      <c r="I33" s="28">
        <v>15</v>
      </c>
      <c r="J33" s="28">
        <v>250</v>
      </c>
      <c r="K33" s="28">
        <v>120</v>
      </c>
      <c r="L33" s="28">
        <v>150</v>
      </c>
      <c r="N33" t="s">
        <v>191</v>
      </c>
      <c r="X33" s="51">
        <v>32</v>
      </c>
      <c r="Y33" s="51" t="s">
        <v>138</v>
      </c>
    </row>
    <row r="34" spans="2:25" x14ac:dyDescent="0.25">
      <c r="B34" s="97">
        <v>12</v>
      </c>
      <c r="C34" s="28" t="s">
        <v>185</v>
      </c>
      <c r="D34" s="1">
        <v>110</v>
      </c>
      <c r="E34" s="1">
        <v>50</v>
      </c>
      <c r="F34" s="1"/>
      <c r="G34" s="1">
        <v>90</v>
      </c>
      <c r="H34" s="28">
        <v>30</v>
      </c>
      <c r="I34" s="28">
        <v>15</v>
      </c>
      <c r="J34" s="28">
        <v>250</v>
      </c>
      <c r="K34" s="28">
        <v>120</v>
      </c>
      <c r="L34" s="28">
        <v>150</v>
      </c>
      <c r="N34" t="s">
        <v>192</v>
      </c>
      <c r="X34" s="51">
        <v>33</v>
      </c>
      <c r="Y34" s="51" t="s">
        <v>139</v>
      </c>
    </row>
    <row r="35" spans="2:25" x14ac:dyDescent="0.25">
      <c r="B35" s="97">
        <v>14</v>
      </c>
      <c r="C35" s="28" t="s">
        <v>187</v>
      </c>
      <c r="D35" s="1">
        <v>111</v>
      </c>
      <c r="E35" s="1">
        <v>72</v>
      </c>
      <c r="F35" s="1"/>
      <c r="G35" s="1">
        <v>127</v>
      </c>
      <c r="H35" s="28">
        <v>55</v>
      </c>
      <c r="I35" s="28">
        <v>40</v>
      </c>
      <c r="J35" s="28">
        <v>250</v>
      </c>
      <c r="K35" s="28">
        <v>120</v>
      </c>
      <c r="L35" s="28">
        <v>150</v>
      </c>
      <c r="N35" t="s">
        <v>193</v>
      </c>
      <c r="X35" s="51">
        <v>34</v>
      </c>
      <c r="Y35" s="51" t="s">
        <v>140</v>
      </c>
    </row>
    <row r="36" spans="2:25" ht="30" x14ac:dyDescent="0.25">
      <c r="B36" s="106"/>
      <c r="C36" s="106"/>
      <c r="D36" s="106"/>
      <c r="E36" s="17"/>
      <c r="X36" s="51">
        <v>35</v>
      </c>
      <c r="Y36" s="51" t="s">
        <v>141</v>
      </c>
    </row>
    <row r="37" spans="2:25" ht="30" x14ac:dyDescent="0.25">
      <c r="B37" s="106"/>
      <c r="C37" s="106"/>
      <c r="D37" s="106"/>
      <c r="E37" s="90"/>
      <c r="X37" s="51">
        <v>36</v>
      </c>
      <c r="Y37" s="51" t="s">
        <v>142</v>
      </c>
    </row>
    <row r="38" spans="2:25" ht="30" x14ac:dyDescent="0.25">
      <c r="B38" s="106"/>
      <c r="C38" s="106"/>
      <c r="D38" s="106"/>
      <c r="E38" s="17"/>
      <c r="X38" s="51">
        <v>37</v>
      </c>
      <c r="Y38" s="51" t="s">
        <v>143</v>
      </c>
    </row>
    <row r="39" spans="2:25" ht="30" x14ac:dyDescent="0.25">
      <c r="B39" s="17"/>
      <c r="C39" s="17"/>
      <c r="D39" s="17"/>
      <c r="E39" s="17"/>
      <c r="F39" s="17"/>
      <c r="G39" s="17"/>
      <c r="H39" s="90"/>
      <c r="I39" s="90"/>
      <c r="J39" s="90"/>
      <c r="K39" s="90"/>
      <c r="L39" s="90"/>
      <c r="M39" s="90"/>
      <c r="X39" s="51">
        <v>38</v>
      </c>
      <c r="Y39" s="51" t="s">
        <v>144</v>
      </c>
    </row>
    <row r="40" spans="2:25" x14ac:dyDescent="0.25">
      <c r="B40" s="17"/>
      <c r="C40" s="17"/>
      <c r="D40" s="17"/>
      <c r="E40" s="17"/>
      <c r="F40" s="17"/>
      <c r="G40" s="17"/>
      <c r="H40" s="90"/>
      <c r="I40" s="90"/>
      <c r="J40" s="90"/>
      <c r="K40" s="90"/>
      <c r="L40" s="90"/>
      <c r="M40" s="17"/>
      <c r="X40" s="51">
        <v>39</v>
      </c>
      <c r="Y40" s="51" t="s">
        <v>145</v>
      </c>
    </row>
    <row r="41" spans="2:25" x14ac:dyDescent="0.25">
      <c r="B41" s="17"/>
      <c r="C41" s="17"/>
      <c r="D41" s="17"/>
      <c r="E41" s="17"/>
      <c r="F41" s="17"/>
      <c r="G41" s="17"/>
      <c r="H41" s="90"/>
      <c r="I41" s="90"/>
      <c r="J41" s="90"/>
      <c r="K41" s="90"/>
      <c r="L41" s="90"/>
      <c r="M41" s="17"/>
      <c r="X41" s="51">
        <v>40</v>
      </c>
      <c r="Y41" s="51" t="s">
        <v>146</v>
      </c>
    </row>
    <row r="42" spans="2:25" x14ac:dyDescent="0.25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X42" s="51">
        <v>41</v>
      </c>
      <c r="Y42" s="51" t="s">
        <v>147</v>
      </c>
    </row>
    <row r="43" spans="2:25" x14ac:dyDescent="0.25">
      <c r="B43" s="17"/>
      <c r="C43" s="17"/>
      <c r="D43" s="17"/>
      <c r="E43" s="17"/>
      <c r="F43" s="17"/>
      <c r="G43" s="17"/>
      <c r="H43" s="90"/>
      <c r="I43" s="90"/>
      <c r="J43" s="90"/>
      <c r="K43" s="90"/>
      <c r="L43" s="90"/>
      <c r="M43" s="17"/>
      <c r="X43" s="51">
        <v>42</v>
      </c>
      <c r="Y43" s="51" t="s">
        <v>148</v>
      </c>
    </row>
    <row r="44" spans="2:25" ht="30" x14ac:dyDescent="0.2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X44" s="51">
        <v>43</v>
      </c>
      <c r="Y44" s="51" t="s">
        <v>149</v>
      </c>
    </row>
    <row r="45" spans="2:25" x14ac:dyDescent="0.25">
      <c r="X45" s="51">
        <v>44</v>
      </c>
      <c r="Y45" s="51" t="s">
        <v>150</v>
      </c>
    </row>
    <row r="46" spans="2:25" x14ac:dyDescent="0.25">
      <c r="X46" s="51">
        <v>45</v>
      </c>
      <c r="Y46" s="51" t="s">
        <v>151</v>
      </c>
    </row>
    <row r="47" spans="2:25" x14ac:dyDescent="0.25">
      <c r="X47" s="51">
        <v>46</v>
      </c>
      <c r="Y47" s="51" t="s">
        <v>152</v>
      </c>
    </row>
    <row r="48" spans="2:25" ht="30" x14ac:dyDescent="0.25">
      <c r="X48" s="51">
        <v>47</v>
      </c>
      <c r="Y48" s="51" t="s">
        <v>153</v>
      </c>
    </row>
    <row r="49" spans="24:25" x14ac:dyDescent="0.25">
      <c r="X49" s="51">
        <v>48</v>
      </c>
      <c r="Y49" s="51" t="s">
        <v>154</v>
      </c>
    </row>
    <row r="50" spans="24:25" x14ac:dyDescent="0.25">
      <c r="X50" s="51">
        <v>49</v>
      </c>
      <c r="Y50" s="51" t="s">
        <v>155</v>
      </c>
    </row>
    <row r="51" spans="24:25" x14ac:dyDescent="0.25">
      <c r="X51" s="51">
        <v>50</v>
      </c>
      <c r="Y51" s="51" t="s">
        <v>156</v>
      </c>
    </row>
    <row r="52" spans="24:25" x14ac:dyDescent="0.25">
      <c r="X52" s="51">
        <v>52</v>
      </c>
      <c r="Y52" s="51" t="s">
        <v>157</v>
      </c>
    </row>
  </sheetData>
  <sheetProtection algorithmName="SHA-512" hashValue="5auZ2du+2W+iIfHMJUeghtB1i4HgdvRrTa7ciTtFzQGRNddXk+nVwZqn0c4CuFNpjX4xB33XvoSfOixSgYBkMg==" saltValue="i9pISRnmLXHsS9LBHQ2wDQ==" spinCount="100000" sheet="1" objects="1" scenarios="1"/>
  <mergeCells count="23">
    <mergeCell ref="Q12:R12"/>
    <mergeCell ref="Q16:R16"/>
    <mergeCell ref="N16:O16"/>
    <mergeCell ref="K16:L16"/>
    <mergeCell ref="B7:C7"/>
    <mergeCell ref="B12:C12"/>
    <mergeCell ref="B17:C17"/>
    <mergeCell ref="E17:F17"/>
    <mergeCell ref="B1:C1"/>
    <mergeCell ref="E1:F1"/>
    <mergeCell ref="H1:I1"/>
    <mergeCell ref="K1:L1"/>
    <mergeCell ref="T7:U7"/>
    <mergeCell ref="T1:U1"/>
    <mergeCell ref="E7:F7"/>
    <mergeCell ref="T12:U12"/>
    <mergeCell ref="N12:O12"/>
    <mergeCell ref="K12:L12"/>
    <mergeCell ref="N1:O1"/>
    <mergeCell ref="E12:F12"/>
    <mergeCell ref="H5:I5"/>
    <mergeCell ref="H10:I10"/>
    <mergeCell ref="Q1:R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C12202-2886-4EA4-B802-E1F089092CE0}"/>
</file>

<file path=customXml/itemProps2.xml><?xml version="1.0" encoding="utf-8"?>
<ds:datastoreItem xmlns:ds="http://schemas.openxmlformats.org/officeDocument/2006/customXml" ds:itemID="{113D2E93-CE24-4C4C-AFB5-006668353A06}"/>
</file>

<file path=customXml/itemProps3.xml><?xml version="1.0" encoding="utf-8"?>
<ds:datastoreItem xmlns:ds="http://schemas.openxmlformats.org/officeDocument/2006/customXml" ds:itemID="{E9C33663-98B6-46A0-9C09-FFEC783223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LOTES (TAC Y ECO)</vt:lpstr>
      <vt:lpstr>LOTE (TAC)</vt:lpstr>
      <vt:lpstr>LOTE (ECO)</vt:lpstr>
      <vt:lpstr>LOTES  (EMG)</vt:lpstr>
      <vt:lpstr>Criterios</vt:lpstr>
      <vt:lpstr>'LOTES (TAC Y ECO)'!Área_de_impresión</vt:lpstr>
      <vt:lpstr>LoteElectro</vt:lpstr>
      <vt:lpstr>LoteTACEco</vt:lpstr>
    </vt:vector>
  </TitlesOfParts>
  <Company>Fraternidad Muprespa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Instalador</dc:creator>
  <cp:lastModifiedBy>Zambrana Morales, Noelia</cp:lastModifiedBy>
  <cp:lastPrinted>2024-04-19T11:22:19Z</cp:lastPrinted>
  <dcterms:created xsi:type="dcterms:W3CDTF">2020-04-22T11:06:07Z</dcterms:created>
  <dcterms:modified xsi:type="dcterms:W3CDTF">2024-08-08T10:31:48Z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