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M:\DEPARTAMENTO\Contratación\APROBACIÓN ORGANO CONTRATACIÓN\2022\029-2022-0605 Radiagnostico 4 lotes ABIERTO\pliegos\"/>
    </mc:Choice>
  </mc:AlternateContent>
  <xr:revisionPtr revIDLastSave="0" documentId="8_{D2BDE44A-C30F-40F2-AB6C-D8BB2E335398}" xr6:coauthVersionLast="47" xr6:coauthVersionMax="47" xr10:uidLastSave="{00000000-0000-0000-0000-000000000000}"/>
  <bookViews>
    <workbookView xWindow="-120" yWindow="-120" windowWidth="29040" windowHeight="15840" xr2:uid="{BC8A8AF2-D8E7-4865-B334-9A5EF4DD43F0}"/>
  </bookViews>
  <sheets>
    <sheet name="LOTE 2 Anexo II-A" sheetId="2" r:id="rId1"/>
  </sheets>
  <definedNames>
    <definedName name="_xlnm.Print_Area" localSheetId="0">'LOTE 2 Anexo II-A'!$B$1:$J$55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7" i="2" l="1"/>
  <c r="I27" i="2"/>
  <c r="J26" i="2"/>
  <c r="I26" i="2"/>
  <c r="J28" i="2" l="1"/>
  <c r="J30" i="2" s="1"/>
  <c r="F41" i="2" s="1"/>
  <c r="F45" i="2" s="1"/>
</calcChain>
</file>

<file path=xl/sharedStrings.xml><?xml version="1.0" encoding="utf-8"?>
<sst xmlns="http://schemas.openxmlformats.org/spreadsheetml/2006/main" count="36" uniqueCount="35">
  <si>
    <t>(Firma y sello del licitador o persona que lo represente)</t>
  </si>
  <si>
    <t xml:space="preserve">En .................................. , a ...... de ........................ de .......................  </t>
  </si>
  <si>
    <t xml:space="preserve"> ,- Euros</t>
  </si>
  <si>
    <t xml:space="preserve">TOTAL ........................................ :                                               </t>
  </si>
  <si>
    <t>,-  Euros</t>
  </si>
  <si>
    <t>-</t>
  </si>
  <si>
    <t xml:space="preserve">IVA ó IGIC ................................. : (exento)       </t>
  </si>
  <si>
    <t xml:space="preserve">IMPORTE propuesta económica (*):                                              </t>
  </si>
  <si>
    <t>El licitador se compromete a tomar a su cargo la ejecución de dicho contrato, según el siguiente desglose:</t>
  </si>
  <si>
    <t>b) Importe propuesta económica</t>
  </si>
  <si>
    <t xml:space="preserve">(*) En la columna "I" se indicará automáticamente si el precio ofertado por el licitador es correcto (ok) o es incorrecto (!) (en caso de ofertar un precio superior al precio máximo). </t>
  </si>
  <si>
    <t>IMPORTE DE LA BOLSA DE SERVICIOS OFRECIDOS EN ANEXO NOMENCLATOR</t>
  </si>
  <si>
    <t xml:space="preserve">Totales ( p x u ) 
</t>
  </si>
  <si>
    <t>Precio unitario  ofertado (p)</t>
  </si>
  <si>
    <t>Precio máximo establecido</t>
  </si>
  <si>
    <t>Nº servicios/año estimado (u)</t>
  </si>
  <si>
    <t>Descripción prestación</t>
  </si>
  <si>
    <t>Código prestación</t>
  </si>
  <si>
    <t>Código material</t>
  </si>
  <si>
    <t>a)    Oferta de precios unitarios servicios obligatorios</t>
  </si>
  <si>
    <t xml:space="preserve">E X P O N E:   </t>
  </si>
  <si>
    <t>El/La  firmante, actuando en su propio nombre y derecho, o en representación de la Empresa ......................................................................................, con domicilio profesional en ....c/............................................................ nº .................., y N.I.F. ............................, en su calidad de .............................................................................................................................................................................................................................................. ..............................................................................................................................</t>
  </si>
  <si>
    <t xml:space="preserve">MODELO DE PROPOSICIÓN ECONÓMICA </t>
  </si>
  <si>
    <t>OFERTA ECONÓMICA LICITADOR DE SERVICIOS OBLIGATORIOS (U)</t>
  </si>
  <si>
    <t>OFERTA LICITADOR (OFR.LIC)</t>
  </si>
  <si>
    <t xml:space="preserve">El fichero se encuentra protegido en su totalidad, salvo en las zonas habilitadas para que el licitador pueda informar respecto a los precios unitarios que oferte. </t>
  </si>
  <si>
    <t>ANEXO II-A</t>
  </si>
  <si>
    <t>OM171454</t>
  </si>
  <si>
    <t>RESONANCIA MAGNETICA. UNA REGION ANATOMICA</t>
  </si>
  <si>
    <t>OM171452</t>
  </si>
  <si>
    <t>RESONANCIA MAGNETICA. DOS O MAS REGIONES ANATOMICAS</t>
  </si>
  <si>
    <t>EXPEDIENTE Nº 029-2022-0605</t>
  </si>
  <si>
    <t>Que, enterado de las condiciones y requisitos que se exigen por esa MUTUA UNIVERSAL. MUGENAT. Mutua Colaboradora con la Seguridad Social nº 10 para la adjudicación del contrato del servicio de radiodiagnóstico RMN en las ciudades de Ávila (Ávila), Burgos (Burgos), Salamanca (Salamanca) y Segovia (Segovia) para el ámbito de actuación de Mutua Universal, por un periodo de un año, según el expediente nº 029-2022-0605, se compromete a tomar a su cargo la ejecución de dicho contrato, con estricta sujeción a los Pliegos de Condiciones Particulares y de Prescripciones Técnicas, por la cantidad máxima total de ............................    ................................................................................................................................................................................................... €  (en letras), teniendo en cuenta que la expresada cantidad comprende tanto el precio del contrato como el Impuesto sobre el Valor Añadido, según el siguiente desglose:</t>
  </si>
  <si>
    <t>LOTE 2 BURGOS</t>
  </si>
  <si>
    <t xml:space="preserve">NOTA: El importe de la propuesta económica, no será superior a 39.000,00 €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</si>
</sst>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7" x14ac:knownFonts="1">
    <font>
      <sz val="11"/>
      <color theme="1"/>
      <name val="Calibri"/>
      <family val="2"/>
      <scheme val="minor"/>
    </font>
    <font>
      <sz val="10"/>
      <color rgb="FF023F86"/>
      <name val="Verdana"/>
      <family val="2"/>
    </font>
    <font>
      <sz val="10"/>
      <color rgb="FF023F86"/>
      <name val="Arial"/>
      <family val="2"/>
    </font>
    <font>
      <b/>
      <sz val="22"/>
      <color rgb="FF023F86"/>
      <name val="Arial"/>
      <family val="2"/>
    </font>
    <font>
      <sz val="12"/>
      <color rgb="FF023F86"/>
      <name val="Verdana"/>
      <family val="2"/>
    </font>
    <font>
      <sz val="12"/>
      <color rgb="FF023F86"/>
      <name val="Arial"/>
      <family val="2"/>
    </font>
    <font>
      <b/>
      <sz val="12"/>
      <color rgb="FF023F86"/>
      <name val="Verdana"/>
      <family val="2"/>
    </font>
    <font>
      <b/>
      <sz val="10"/>
      <color rgb="FF023F86"/>
      <name val="Verdana"/>
      <family val="2"/>
    </font>
    <font>
      <b/>
      <sz val="12"/>
      <color rgb="FF023F86"/>
      <name val="Arial"/>
      <family val="2"/>
    </font>
    <font>
      <i/>
      <sz val="12"/>
      <color rgb="FF023F86"/>
      <name val="Verdana"/>
      <family val="2"/>
    </font>
    <font>
      <sz val="8"/>
      <color rgb="FF023F86"/>
      <name val="Verdana"/>
      <family val="2"/>
    </font>
    <font>
      <sz val="11"/>
      <color rgb="FF023F86"/>
      <name val="Verdana"/>
      <family val="2"/>
    </font>
    <font>
      <sz val="11"/>
      <color rgb="FF023F86"/>
      <name val="Calibri"/>
      <family val="2"/>
      <scheme val="minor"/>
    </font>
    <font>
      <b/>
      <sz val="11"/>
      <color rgb="FF023F86"/>
      <name val="Verdana"/>
      <family val="2"/>
    </font>
    <font>
      <i/>
      <sz val="12"/>
      <color rgb="FF023F86"/>
      <name val="Arial"/>
      <family val="2"/>
    </font>
    <font>
      <b/>
      <i/>
      <sz val="12"/>
      <color rgb="FF023F86"/>
      <name val="Arial"/>
      <family val="2"/>
    </font>
    <font>
      <i/>
      <sz val="10"/>
      <color rgb="FF023F86"/>
      <name val="Arial"/>
      <family val="2"/>
    </font>
  </fonts>
  <fills count="4">
    <fill>
      <patternFill patternType="none"/>
    </fill>
    <fill>
      <patternFill patternType="gray125"/>
    </fill>
    <fill>
      <patternFill patternType="solid">
        <fgColor indexed="65"/>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0" borderId="0" xfId="0" applyFont="1" applyProtection="1">
      <protection locked="0"/>
    </xf>
    <xf numFmtId="0" fontId="1" fillId="2" borderId="0" xfId="0" applyFont="1" applyFill="1" applyBorder="1" applyProtection="1"/>
    <xf numFmtId="0" fontId="1" fillId="2" borderId="0" xfId="0" applyFont="1" applyFill="1" applyBorder="1" applyAlignment="1" applyProtection="1"/>
    <xf numFmtId="0" fontId="1" fillId="2" borderId="0" xfId="0" applyFont="1" applyFill="1" applyBorder="1" applyAlignment="1" applyProtection="1">
      <alignment horizontal="center" vertical="center"/>
    </xf>
    <xf numFmtId="0" fontId="1" fillId="0" borderId="0" xfId="0" applyFont="1" applyAlignment="1" applyProtection="1">
      <alignment horizontal="center" vertical="center"/>
      <protection locked="0"/>
    </xf>
    <xf numFmtId="0" fontId="2" fillId="2" borderId="0" xfId="0" applyFont="1" applyFill="1" applyBorder="1" applyProtection="1"/>
    <xf numFmtId="0" fontId="3" fillId="2" borderId="0" xfId="0" applyFont="1" applyFill="1" applyBorder="1" applyAlignment="1" applyProtection="1">
      <alignment horizontal="center" vertical="center" wrapText="1"/>
    </xf>
    <xf numFmtId="0" fontId="3" fillId="2" borderId="0" xfId="0" applyFont="1" applyFill="1" applyBorder="1" applyAlignment="1" applyProtection="1">
      <alignment vertical="center" wrapText="1"/>
    </xf>
    <xf numFmtId="0" fontId="4" fillId="2" borderId="0" xfId="0" applyFont="1" applyFill="1" applyBorder="1" applyProtection="1"/>
    <xf numFmtId="0" fontId="4" fillId="2" borderId="0" xfId="0" applyFont="1" applyFill="1" applyBorder="1" applyAlignment="1" applyProtection="1">
      <alignment vertical="center" wrapText="1"/>
    </xf>
    <xf numFmtId="0" fontId="4" fillId="2" borderId="0" xfId="0" applyFont="1" applyFill="1" applyBorder="1" applyAlignment="1" applyProtection="1">
      <alignment horizontal="center" vertical="center" wrapText="1"/>
    </xf>
    <xf numFmtId="0" fontId="5" fillId="2" borderId="0" xfId="0" applyFont="1" applyFill="1" applyBorder="1" applyAlignment="1" applyProtection="1">
      <alignment vertical="center" wrapText="1"/>
      <protection locked="0"/>
    </xf>
    <xf numFmtId="0" fontId="7" fillId="2" borderId="0" xfId="0" applyFont="1" applyFill="1" applyBorder="1" applyAlignment="1" applyProtection="1">
      <alignment vertical="center"/>
    </xf>
    <xf numFmtId="0" fontId="7" fillId="2" borderId="0" xfId="0" applyFont="1" applyFill="1" applyBorder="1" applyAlignment="1" applyProtection="1">
      <alignment horizontal="center" vertical="center"/>
    </xf>
    <xf numFmtId="0" fontId="8" fillId="2" borderId="0" xfId="0" applyFont="1" applyFill="1" applyBorder="1" applyAlignment="1" applyProtection="1">
      <alignment vertical="center"/>
    </xf>
    <xf numFmtId="0" fontId="7" fillId="3" borderId="1" xfId="0" applyFont="1" applyFill="1" applyBorder="1" applyAlignment="1" applyProtection="1">
      <alignment horizontal="center" vertical="center" wrapText="1"/>
    </xf>
    <xf numFmtId="0" fontId="1" fillId="2" borderId="1" xfId="0" applyNumberFormat="1" applyFont="1" applyFill="1" applyBorder="1" applyAlignment="1" applyProtection="1">
      <alignment horizontal="center" vertical="center"/>
    </xf>
    <xf numFmtId="0" fontId="1" fillId="2" borderId="1" xfId="0" applyFont="1" applyFill="1" applyBorder="1" applyAlignment="1" applyProtection="1">
      <alignment horizontal="left" vertical="center"/>
    </xf>
    <xf numFmtId="0" fontId="1" fillId="2" borderId="1" xfId="0" applyFont="1" applyFill="1" applyBorder="1" applyAlignment="1" applyProtection="1">
      <alignment horizontal="left" vertical="center" wrapText="1"/>
    </xf>
    <xf numFmtId="0" fontId="1" fillId="2" borderId="1" xfId="0" applyFont="1" applyFill="1" applyBorder="1" applyAlignment="1" applyProtection="1">
      <alignment horizontal="center" vertical="center"/>
    </xf>
    <xf numFmtId="164" fontId="1" fillId="2" borderId="1" xfId="0" applyNumberFormat="1" applyFont="1" applyFill="1" applyBorder="1" applyAlignment="1" applyProtection="1">
      <alignment horizontal="center" vertical="center"/>
    </xf>
    <xf numFmtId="164" fontId="1" fillId="2" borderId="1" xfId="0" applyNumberFormat="1" applyFont="1" applyFill="1" applyBorder="1" applyAlignment="1" applyProtection="1">
      <alignment horizontal="right" vertical="center"/>
      <protection locked="0"/>
    </xf>
    <xf numFmtId="0" fontId="9" fillId="2" borderId="0" xfId="0" applyFont="1" applyFill="1" applyBorder="1" applyAlignment="1" applyProtection="1">
      <alignment wrapText="1"/>
    </xf>
    <xf numFmtId="164" fontId="7" fillId="2" borderId="1" xfId="0" applyNumberFormat="1" applyFont="1" applyFill="1" applyBorder="1" applyAlignment="1" applyProtection="1">
      <alignment horizontal="center" vertical="center" wrapText="1"/>
    </xf>
    <xf numFmtId="0" fontId="1" fillId="2" borderId="0" xfId="0" applyFont="1" applyFill="1" applyProtection="1">
      <protection locked="0"/>
    </xf>
    <xf numFmtId="0" fontId="10" fillId="2" borderId="0" xfId="0" applyFont="1" applyFill="1" applyBorder="1" applyAlignment="1" applyProtection="1">
      <alignment horizontal="left" wrapText="1"/>
    </xf>
    <xf numFmtId="0" fontId="4" fillId="2" borderId="0" xfId="0" applyFont="1" applyFill="1" applyBorder="1" applyAlignment="1" applyProtection="1">
      <alignment horizontal="left" wrapText="1"/>
    </xf>
    <xf numFmtId="0" fontId="4" fillId="2" borderId="0" xfId="0" applyFont="1" applyFill="1" applyBorder="1" applyAlignment="1" applyProtection="1">
      <alignment horizontal="center" vertical="center"/>
    </xf>
    <xf numFmtId="0" fontId="6" fillId="2" borderId="0" xfId="0" applyFont="1" applyFill="1" applyBorder="1" applyProtection="1"/>
    <xf numFmtId="0" fontId="5" fillId="2" borderId="0" xfId="0" applyFont="1" applyFill="1" applyBorder="1" applyAlignment="1" applyProtection="1">
      <alignment horizontal="left" vertical="center" wrapText="1"/>
    </xf>
    <xf numFmtId="0" fontId="1" fillId="2" borderId="0" xfId="0" applyFont="1" applyFill="1" applyBorder="1" applyAlignment="1" applyProtection="1">
      <alignment horizontal="left" vertical="center" wrapText="1"/>
    </xf>
    <xf numFmtId="0" fontId="4" fillId="2" borderId="0" xfId="0" applyFont="1" applyFill="1" applyBorder="1" applyAlignment="1" applyProtection="1">
      <alignment horizontal="left" vertical="center" wrapText="1"/>
    </xf>
    <xf numFmtId="0" fontId="6" fillId="2" borderId="0" xfId="0" applyFont="1" applyFill="1" applyBorder="1" applyAlignment="1" applyProtection="1">
      <alignment horizontal="justify" vertical="center"/>
    </xf>
    <xf numFmtId="0" fontId="11" fillId="2" borderId="0" xfId="0" applyFont="1" applyFill="1" applyBorder="1" applyProtection="1"/>
    <xf numFmtId="0" fontId="1" fillId="2" borderId="0" xfId="0" applyFont="1" applyFill="1" applyBorder="1" applyAlignment="1" applyProtection="1">
      <alignment vertical="center"/>
    </xf>
    <xf numFmtId="0" fontId="12" fillId="0" borderId="0" xfId="0" applyFont="1"/>
    <xf numFmtId="0" fontId="13" fillId="2" borderId="0" xfId="0" applyFont="1" applyFill="1" applyBorder="1" applyAlignment="1" applyProtection="1">
      <alignment horizontal="left" vertical="center"/>
    </xf>
    <xf numFmtId="164" fontId="13" fillId="2" borderId="0" xfId="0" applyNumberFormat="1" applyFont="1" applyFill="1" applyBorder="1" applyAlignment="1" applyProtection="1">
      <alignment horizontal="center" vertical="center"/>
    </xf>
    <xf numFmtId="0" fontId="11" fillId="2" borderId="0" xfId="0" applyFont="1" applyFill="1" applyBorder="1" applyAlignment="1" applyProtection="1">
      <alignment horizontal="left" vertical="center"/>
    </xf>
    <xf numFmtId="0" fontId="4" fillId="2" borderId="0" xfId="0" applyFont="1" applyFill="1" applyBorder="1" applyAlignment="1" applyProtection="1">
      <alignment vertical="center"/>
    </xf>
    <xf numFmtId="0" fontId="6" fillId="2" borderId="0" xfId="0" applyFont="1" applyFill="1" applyBorder="1" applyAlignment="1" applyProtection="1">
      <alignment horizontal="left" vertical="center"/>
    </xf>
    <xf numFmtId="0" fontId="5" fillId="2" borderId="0" xfId="0" applyFont="1" applyFill="1" applyBorder="1" applyAlignment="1" applyProtection="1">
      <alignment horizontal="center" vertical="center"/>
    </xf>
    <xf numFmtId="0" fontId="5" fillId="2" borderId="0" xfId="0" applyFont="1" applyFill="1" applyBorder="1" applyProtection="1"/>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left"/>
    </xf>
    <xf numFmtId="0" fontId="5" fillId="0" borderId="0" xfId="0" applyFont="1" applyProtection="1">
      <protection locked="0"/>
    </xf>
    <xf numFmtId="164" fontId="8" fillId="2" borderId="0" xfId="0" applyNumberFormat="1" applyFont="1" applyFill="1" applyBorder="1" applyAlignment="1" applyProtection="1">
      <alignment horizontal="center" vertical="center"/>
    </xf>
    <xf numFmtId="0" fontId="15" fillId="2" borderId="0" xfId="0" applyFont="1" applyFill="1" applyBorder="1" applyAlignment="1" applyProtection="1">
      <alignment horizontal="left"/>
    </xf>
    <xf numFmtId="0" fontId="16" fillId="2" borderId="0" xfId="0" applyFont="1" applyFill="1" applyBorder="1" applyAlignment="1" applyProtection="1">
      <alignment horizontal="left" wrapText="1"/>
    </xf>
    <xf numFmtId="0" fontId="5" fillId="2" borderId="0" xfId="0" applyFont="1" applyFill="1" applyBorder="1" applyAlignment="1" applyProtection="1">
      <alignment horizontal="center" vertical="center"/>
      <protection locked="0"/>
    </xf>
    <xf numFmtId="0" fontId="5" fillId="2" borderId="0" xfId="0" applyFont="1" applyFill="1" applyBorder="1" applyAlignment="1" applyProtection="1">
      <alignment horizontal="left" vertical="center"/>
      <protection locked="0"/>
    </xf>
    <xf numFmtId="0" fontId="5" fillId="2" borderId="0" xfId="0" applyFont="1" applyFill="1" applyBorder="1" applyProtection="1">
      <protection locked="0"/>
    </xf>
    <xf numFmtId="0" fontId="1" fillId="2" borderId="0" xfId="0" applyFont="1" applyFill="1" applyBorder="1" applyAlignment="1" applyProtection="1">
      <alignment horizontal="center" vertical="center"/>
      <protection locked="0"/>
    </xf>
    <xf numFmtId="0" fontId="1" fillId="2" borderId="0" xfId="0" applyFont="1" applyFill="1" applyBorder="1" applyProtection="1">
      <protection locked="0"/>
    </xf>
    <xf numFmtId="3" fontId="1" fillId="2" borderId="1" xfId="0" applyNumberFormat="1" applyFont="1" applyFill="1" applyBorder="1" applyAlignment="1" applyProtection="1">
      <alignment horizontal="center" vertical="center"/>
    </xf>
    <xf numFmtId="0" fontId="3" fillId="2" borderId="0" xfId="0" applyFont="1" applyFill="1" applyBorder="1" applyAlignment="1" applyProtection="1">
      <alignment horizontal="center" vertical="center" wrapText="1"/>
    </xf>
    <xf numFmtId="0" fontId="5" fillId="2" borderId="0" xfId="0" applyFont="1" applyFill="1" applyBorder="1" applyAlignment="1" applyProtection="1">
      <alignment horizontal="justify" vertical="justify" wrapText="1"/>
      <protection locked="0"/>
    </xf>
    <xf numFmtId="0" fontId="16" fillId="2" borderId="0" xfId="0" applyFont="1" applyFill="1" applyBorder="1" applyAlignment="1" applyProtection="1">
      <alignment horizontal="left" wrapText="1"/>
    </xf>
    <xf numFmtId="0" fontId="6" fillId="2" borderId="0" xfId="0" applyFont="1" applyFill="1" applyBorder="1" applyAlignment="1" applyProtection="1">
      <alignment horizontal="left" vertical="center"/>
    </xf>
    <xf numFmtId="0" fontId="5" fillId="2" borderId="0" xfId="0" applyFont="1" applyFill="1" applyBorder="1" applyAlignment="1" applyProtection="1">
      <alignment horizontal="left" vertical="center" wrapText="1"/>
      <protection locked="0"/>
    </xf>
    <xf numFmtId="0" fontId="7" fillId="3" borderId="1" xfId="0" applyFont="1" applyFill="1" applyBorder="1" applyAlignment="1" applyProtection="1">
      <alignment horizontal="center" vertical="center" wrapText="1"/>
    </xf>
    <xf numFmtId="0" fontId="1" fillId="2" borderId="1" xfId="0" applyFont="1" applyFill="1" applyBorder="1" applyAlignment="1" applyProtection="1">
      <alignment horizontal="right" vertical="center" wrapText="1"/>
    </xf>
    <xf numFmtId="0" fontId="7" fillId="2" borderId="1" xfId="0" applyFont="1" applyFill="1" applyBorder="1" applyAlignment="1" applyProtection="1">
      <alignment horizontal="right" vertical="center" wrapText="1"/>
    </xf>
    <xf numFmtId="0" fontId="10" fillId="2" borderId="0" xfId="0" applyFont="1" applyFill="1" applyBorder="1" applyAlignment="1" applyProtection="1">
      <alignment horizontal="center" vertical="center" wrapText="1"/>
    </xf>
    <xf numFmtId="0" fontId="5" fillId="2" borderId="0" xfId="0"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colors>
    <mruColors>
      <color rgb="FF023F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114300</xdr:rowOff>
    </xdr:from>
    <xdr:to>
      <xdr:col>4</xdr:col>
      <xdr:colOff>1003236</xdr:colOff>
      <xdr:row>2</xdr:row>
      <xdr:rowOff>142875</xdr:rowOff>
    </xdr:to>
    <xdr:pic>
      <xdr:nvPicPr>
        <xdr:cNvPr id="2" name="3 Imagen">
          <a:extLst>
            <a:ext uri="{FF2B5EF4-FFF2-40B4-BE49-F238E27FC236}">
              <a16:creationId xmlns:a16="http://schemas.microsoft.com/office/drawing/2014/main" id="{E4BC4B3C-813E-4A27-8B0E-7193E0DD61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114300"/>
          <a:ext cx="3200336" cy="39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0</xdr:row>
      <xdr:rowOff>114300</xdr:rowOff>
    </xdr:from>
    <xdr:to>
      <xdr:col>4</xdr:col>
      <xdr:colOff>1003236</xdr:colOff>
      <xdr:row>2</xdr:row>
      <xdr:rowOff>142875</xdr:rowOff>
    </xdr:to>
    <xdr:pic>
      <xdr:nvPicPr>
        <xdr:cNvPr id="3" name="3 Imagen">
          <a:extLst>
            <a:ext uri="{FF2B5EF4-FFF2-40B4-BE49-F238E27FC236}">
              <a16:creationId xmlns:a16="http://schemas.microsoft.com/office/drawing/2014/main" id="{6C2D5CD9-8AE3-4EEF-BFDF-F87769905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114300"/>
          <a:ext cx="3346386"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E7C-2004-43E5-9546-C736F203A18B}">
  <dimension ref="A1:L63"/>
  <sheetViews>
    <sheetView tabSelected="1" topLeftCell="A13" zoomScale="80" zoomScaleNormal="80" workbookViewId="0">
      <selection activeCell="H26" sqref="H26:H27"/>
    </sheetView>
  </sheetViews>
  <sheetFormatPr baseColWidth="10" defaultColWidth="11.42578125" defaultRowHeight="12.75" x14ac:dyDescent="0.2"/>
  <cols>
    <col min="1" max="1" width="11.42578125" style="1"/>
    <col min="2" max="2" width="5.7109375" style="1" customWidth="1"/>
    <col min="3" max="3" width="16.7109375" style="1" customWidth="1"/>
    <col min="4" max="4" width="14" style="1" customWidth="1"/>
    <col min="5" max="5" width="52.42578125" style="1" customWidth="1"/>
    <col min="6" max="6" width="22.140625" style="5" customWidth="1"/>
    <col min="7" max="7" width="20.7109375" style="1" customWidth="1"/>
    <col min="8" max="8" width="16.7109375" style="5" customWidth="1"/>
    <col min="9" max="9" width="3.7109375" style="1" customWidth="1"/>
    <col min="10" max="10" width="19.7109375" style="1" customWidth="1"/>
    <col min="11" max="11" width="3.7109375" style="1" customWidth="1"/>
    <col min="12" max="16384" width="11.42578125" style="1"/>
  </cols>
  <sheetData>
    <row r="1" spans="1:10" x14ac:dyDescent="0.2">
      <c r="A1" s="2"/>
      <c r="B1" s="3"/>
      <c r="C1" s="3"/>
      <c r="D1" s="3"/>
      <c r="E1" s="3"/>
      <c r="F1" s="4"/>
      <c r="G1" s="3"/>
      <c r="H1" s="4"/>
      <c r="I1" s="3"/>
      <c r="J1" s="3"/>
    </row>
    <row r="2" spans="1:10" s="5" customFormat="1" ht="19.5" customHeight="1" x14ac:dyDescent="0.25">
      <c r="A2" s="4"/>
      <c r="B2" s="4"/>
      <c r="C2" s="4"/>
      <c r="D2" s="4"/>
      <c r="E2" s="4"/>
      <c r="F2" s="4"/>
      <c r="G2" s="4"/>
      <c r="H2" s="4"/>
      <c r="I2" s="4"/>
      <c r="J2" s="4"/>
    </row>
    <row r="3" spans="1:10" x14ac:dyDescent="0.2">
      <c r="A3" s="2"/>
      <c r="B3" s="2"/>
      <c r="C3" s="2"/>
      <c r="D3" s="2"/>
      <c r="E3" s="2"/>
      <c r="F3" s="2"/>
      <c r="G3" s="2"/>
      <c r="H3" s="2"/>
      <c r="I3" s="2"/>
      <c r="J3" s="2"/>
    </row>
    <row r="4" spans="1:10" x14ac:dyDescent="0.2">
      <c r="A4" s="2"/>
      <c r="B4" s="6"/>
      <c r="C4" s="6"/>
      <c r="D4" s="6"/>
      <c r="E4" s="6"/>
      <c r="F4" s="6"/>
      <c r="G4" s="6"/>
      <c r="H4" s="6"/>
      <c r="I4" s="6"/>
      <c r="J4" s="6"/>
    </row>
    <row r="5" spans="1:10" x14ac:dyDescent="0.2">
      <c r="A5" s="2"/>
      <c r="B5" s="6"/>
      <c r="C5" s="6"/>
      <c r="D5" s="6"/>
      <c r="E5" s="6"/>
      <c r="F5" s="6"/>
      <c r="G5" s="6"/>
      <c r="H5" s="6"/>
      <c r="I5" s="6"/>
      <c r="J5" s="6"/>
    </row>
    <row r="6" spans="1:10" ht="39.75" customHeight="1" x14ac:dyDescent="0.2">
      <c r="A6" s="2"/>
      <c r="B6" s="56" t="s">
        <v>26</v>
      </c>
      <c r="C6" s="56"/>
      <c r="D6" s="56"/>
      <c r="E6" s="56"/>
      <c r="F6" s="56"/>
      <c r="G6" s="56"/>
      <c r="H6" s="56"/>
      <c r="I6" s="56"/>
      <c r="J6" s="56"/>
    </row>
    <row r="7" spans="1:10" ht="26.25" customHeight="1" x14ac:dyDescent="0.2">
      <c r="A7" s="2"/>
      <c r="B7" s="7"/>
      <c r="C7" s="7"/>
      <c r="D7" s="7"/>
      <c r="E7" s="56" t="s">
        <v>31</v>
      </c>
      <c r="F7" s="56"/>
      <c r="G7" s="56"/>
      <c r="H7" s="8"/>
      <c r="I7" s="8"/>
      <c r="J7" s="8"/>
    </row>
    <row r="8" spans="1:10" ht="15" customHeight="1" x14ac:dyDescent="0.2">
      <c r="A8" s="2"/>
      <c r="B8" s="7"/>
      <c r="C8" s="7"/>
      <c r="D8" s="7"/>
      <c r="E8" s="8"/>
      <c r="F8" s="8"/>
      <c r="G8" s="8"/>
      <c r="H8" s="8"/>
      <c r="I8" s="8"/>
      <c r="J8" s="8"/>
    </row>
    <row r="9" spans="1:10" ht="34.5" customHeight="1" x14ac:dyDescent="0.2">
      <c r="A9" s="2"/>
      <c r="B9" s="56" t="s">
        <v>33</v>
      </c>
      <c r="C9" s="56"/>
      <c r="D9" s="56"/>
      <c r="E9" s="56"/>
      <c r="F9" s="56"/>
      <c r="G9" s="56"/>
      <c r="H9" s="56"/>
      <c r="I9" s="56"/>
      <c r="J9" s="56"/>
    </row>
    <row r="10" spans="1:10" ht="34.5" customHeight="1" x14ac:dyDescent="0.2">
      <c r="A10" s="2"/>
      <c r="B10" s="56" t="s">
        <v>22</v>
      </c>
      <c r="C10" s="56"/>
      <c r="D10" s="56"/>
      <c r="E10" s="56"/>
      <c r="F10" s="56"/>
      <c r="G10" s="56"/>
      <c r="H10" s="56"/>
      <c r="I10" s="56"/>
      <c r="J10" s="56"/>
    </row>
    <row r="11" spans="1:10" ht="9.75" customHeight="1" x14ac:dyDescent="0.2">
      <c r="A11" s="2"/>
      <c r="B11" s="7"/>
      <c r="C11" s="56"/>
      <c r="D11" s="56"/>
      <c r="E11" s="56"/>
      <c r="F11" s="56"/>
      <c r="G11" s="56"/>
      <c r="H11" s="56"/>
      <c r="I11" s="56"/>
      <c r="J11" s="7"/>
    </row>
    <row r="12" spans="1:10" ht="24.75" customHeight="1" x14ac:dyDescent="0.2">
      <c r="A12" s="9"/>
      <c r="B12" s="9"/>
      <c r="C12" s="10"/>
      <c r="D12" s="10"/>
      <c r="E12" s="10"/>
      <c r="F12" s="11"/>
      <c r="G12" s="10"/>
      <c r="H12" s="11"/>
      <c r="I12" s="10"/>
      <c r="J12" s="10"/>
    </row>
    <row r="13" spans="1:10" ht="76.5" customHeight="1" x14ac:dyDescent="0.2">
      <c r="A13" s="9"/>
      <c r="B13" s="12"/>
      <c r="C13" s="57" t="s">
        <v>21</v>
      </c>
      <c r="D13" s="57"/>
      <c r="E13" s="57"/>
      <c r="F13" s="57"/>
      <c r="G13" s="57"/>
      <c r="H13" s="57"/>
      <c r="I13" s="57"/>
      <c r="J13" s="12"/>
    </row>
    <row r="14" spans="1:10" ht="15" customHeight="1" x14ac:dyDescent="0.2">
      <c r="A14" s="9"/>
      <c r="B14" s="10"/>
      <c r="C14" s="10"/>
      <c r="D14" s="10"/>
      <c r="E14" s="10"/>
      <c r="F14" s="11"/>
      <c r="G14" s="10"/>
      <c r="H14" s="11"/>
      <c r="I14" s="10"/>
      <c r="J14" s="10"/>
    </row>
    <row r="15" spans="1:10" ht="15" x14ac:dyDescent="0.2">
      <c r="A15" s="9"/>
      <c r="B15" s="59" t="s">
        <v>20</v>
      </c>
      <c r="C15" s="59"/>
      <c r="D15" s="59"/>
      <c r="E15" s="59"/>
      <c r="F15" s="59"/>
      <c r="G15" s="59"/>
      <c r="H15" s="59"/>
      <c r="I15" s="59"/>
      <c r="J15" s="59"/>
    </row>
    <row r="16" spans="1:10" ht="15" x14ac:dyDescent="0.2">
      <c r="A16" s="9"/>
      <c r="B16" s="59"/>
      <c r="C16" s="59"/>
      <c r="D16" s="59"/>
      <c r="E16" s="59"/>
      <c r="F16" s="59"/>
      <c r="G16" s="59"/>
      <c r="H16" s="59"/>
      <c r="I16" s="59"/>
      <c r="J16" s="59"/>
    </row>
    <row r="17" spans="1:11" ht="15" x14ac:dyDescent="0.2">
      <c r="A17" s="9"/>
      <c r="B17" s="59"/>
      <c r="C17" s="59"/>
      <c r="D17" s="59"/>
      <c r="E17" s="59"/>
      <c r="F17" s="59"/>
      <c r="G17" s="59"/>
      <c r="H17" s="59"/>
      <c r="I17" s="59"/>
      <c r="J17" s="59"/>
    </row>
    <row r="18" spans="1:11" ht="12.75" customHeight="1" x14ac:dyDescent="0.2">
      <c r="A18" s="9"/>
      <c r="B18" s="60" t="s">
        <v>32</v>
      </c>
      <c r="C18" s="60"/>
      <c r="D18" s="60"/>
      <c r="E18" s="60"/>
      <c r="F18" s="60"/>
      <c r="G18" s="60"/>
      <c r="H18" s="60"/>
      <c r="I18" s="60"/>
      <c r="J18" s="60"/>
    </row>
    <row r="19" spans="1:11" ht="91.5" customHeight="1" x14ac:dyDescent="0.2">
      <c r="A19" s="9"/>
      <c r="B19" s="60"/>
      <c r="C19" s="60"/>
      <c r="D19" s="60"/>
      <c r="E19" s="60"/>
      <c r="F19" s="60"/>
      <c r="G19" s="60"/>
      <c r="H19" s="60"/>
      <c r="I19" s="60"/>
      <c r="J19" s="60"/>
    </row>
    <row r="20" spans="1:11" ht="24.75" customHeight="1" x14ac:dyDescent="0.2">
      <c r="A20" s="2"/>
      <c r="B20" s="2"/>
      <c r="C20" s="2"/>
      <c r="D20" s="2"/>
      <c r="E20" s="2"/>
      <c r="F20" s="4"/>
      <c r="G20" s="2"/>
      <c r="H20" s="4"/>
      <c r="I20" s="2"/>
      <c r="J20" s="2"/>
    </row>
    <row r="21" spans="1:11" x14ac:dyDescent="0.2">
      <c r="A21" s="2"/>
      <c r="B21" s="13"/>
      <c r="C21" s="13"/>
      <c r="D21" s="13"/>
      <c r="E21" s="13"/>
      <c r="F21" s="14"/>
      <c r="G21" s="13"/>
      <c r="H21" s="14"/>
      <c r="I21" s="13"/>
      <c r="J21" s="13"/>
    </row>
    <row r="22" spans="1:11" ht="15.75" x14ac:dyDescent="0.2">
      <c r="A22" s="2"/>
      <c r="B22" s="15" t="s">
        <v>19</v>
      </c>
      <c r="C22" s="13"/>
      <c r="D22" s="13"/>
      <c r="E22" s="13"/>
      <c r="F22" s="14"/>
      <c r="G22" s="13"/>
      <c r="H22" s="14"/>
      <c r="I22" s="13"/>
      <c r="J22" s="13"/>
    </row>
    <row r="23" spans="1:11" x14ac:dyDescent="0.2">
      <c r="A23" s="2"/>
      <c r="B23" s="13"/>
      <c r="C23" s="13"/>
      <c r="D23" s="13"/>
      <c r="E23" s="13"/>
      <c r="F23" s="14"/>
      <c r="G23" s="13"/>
      <c r="H23" s="14"/>
      <c r="I23" s="13"/>
      <c r="J23" s="13"/>
    </row>
    <row r="24" spans="1:11" x14ac:dyDescent="0.2">
      <c r="A24" s="2"/>
      <c r="B24" s="13"/>
      <c r="C24" s="13"/>
      <c r="D24" s="13"/>
      <c r="E24" s="13"/>
      <c r="F24" s="14"/>
      <c r="G24" s="13"/>
      <c r="H24" s="14"/>
      <c r="I24" s="13"/>
      <c r="J24" s="13"/>
    </row>
    <row r="25" spans="1:11" ht="25.5" x14ac:dyDescent="0.2">
      <c r="A25" s="2"/>
      <c r="B25" s="2"/>
      <c r="C25" s="16" t="s">
        <v>18</v>
      </c>
      <c r="D25" s="16" t="s">
        <v>17</v>
      </c>
      <c r="E25" s="16" t="s">
        <v>16</v>
      </c>
      <c r="F25" s="16" t="s">
        <v>15</v>
      </c>
      <c r="G25" s="16" t="s">
        <v>14</v>
      </c>
      <c r="H25" s="61" t="s">
        <v>13</v>
      </c>
      <c r="I25" s="61"/>
      <c r="J25" s="16" t="s">
        <v>12</v>
      </c>
    </row>
    <row r="26" spans="1:11" ht="32.25" customHeight="1" x14ac:dyDescent="0.2">
      <c r="A26" s="2"/>
      <c r="B26" s="2"/>
      <c r="C26" s="17">
        <v>12052</v>
      </c>
      <c r="D26" s="18" t="s">
        <v>27</v>
      </c>
      <c r="E26" s="19" t="s">
        <v>28</v>
      </c>
      <c r="F26" s="55">
        <v>280</v>
      </c>
      <c r="G26" s="21">
        <v>125</v>
      </c>
      <c r="H26" s="22"/>
      <c r="I26" s="21" t="str">
        <f>IF(H26&gt;G26,"!","ok")</f>
        <v>ok</v>
      </c>
      <c r="J26" s="21">
        <f>(F26*H26)</f>
        <v>0</v>
      </c>
    </row>
    <row r="27" spans="1:11" ht="32.25" customHeight="1" x14ac:dyDescent="0.2">
      <c r="A27" s="2"/>
      <c r="B27" s="2"/>
      <c r="C27" s="17">
        <v>12051</v>
      </c>
      <c r="D27" s="18" t="s">
        <v>29</v>
      </c>
      <c r="E27" s="19" t="s">
        <v>30</v>
      </c>
      <c r="F27" s="20">
        <v>20</v>
      </c>
      <c r="G27" s="21">
        <v>180</v>
      </c>
      <c r="H27" s="22"/>
      <c r="I27" s="21" t="str">
        <f>IF(H27&gt;G27,"!","ok")</f>
        <v>ok</v>
      </c>
      <c r="J27" s="21">
        <f>(F27*H27)</f>
        <v>0</v>
      </c>
    </row>
    <row r="28" spans="1:11" ht="31.15" customHeight="1" x14ac:dyDescent="0.2">
      <c r="A28" s="9"/>
      <c r="B28" s="9"/>
      <c r="C28" s="23"/>
      <c r="D28" s="23"/>
      <c r="E28" s="23"/>
      <c r="F28" s="62" t="s">
        <v>23</v>
      </c>
      <c r="G28" s="62"/>
      <c r="H28" s="62"/>
      <c r="I28" s="62"/>
      <c r="J28" s="24">
        <f>SUM(J26:J27)</f>
        <v>0</v>
      </c>
      <c r="K28" s="25"/>
    </row>
    <row r="29" spans="1:11" ht="35.65" customHeight="1" x14ac:dyDescent="0.2">
      <c r="A29" s="9"/>
      <c r="B29" s="9"/>
      <c r="C29" s="23"/>
      <c r="D29" s="23"/>
      <c r="E29" s="23"/>
      <c r="F29" s="62" t="s">
        <v>11</v>
      </c>
      <c r="G29" s="62"/>
      <c r="H29" s="62"/>
      <c r="I29" s="62"/>
      <c r="J29" s="24">
        <v>400</v>
      </c>
      <c r="K29" s="25"/>
    </row>
    <row r="30" spans="1:11" ht="15.75" customHeight="1" x14ac:dyDescent="0.2">
      <c r="A30" s="9"/>
      <c r="B30" s="9"/>
      <c r="C30" s="23"/>
      <c r="D30" s="23"/>
      <c r="E30" s="23"/>
      <c r="F30" s="63" t="s">
        <v>24</v>
      </c>
      <c r="G30" s="63"/>
      <c r="H30" s="63"/>
      <c r="I30" s="63"/>
      <c r="J30" s="24">
        <f>J28+J29</f>
        <v>400</v>
      </c>
      <c r="K30" s="25"/>
    </row>
    <row r="31" spans="1:11" ht="12.75" customHeight="1" x14ac:dyDescent="0.2">
      <c r="A31" s="9"/>
      <c r="B31" s="9"/>
      <c r="C31" s="23"/>
      <c r="D31" s="23"/>
      <c r="E31" s="23"/>
      <c r="F31" s="26"/>
      <c r="G31" s="26"/>
      <c r="H31" s="26"/>
      <c r="I31" s="2"/>
      <c r="J31" s="2"/>
    </row>
    <row r="32" spans="1:11" ht="9" customHeight="1" x14ac:dyDescent="0.2">
      <c r="A32" s="9"/>
      <c r="B32" s="9"/>
      <c r="C32" s="23"/>
      <c r="D32" s="23"/>
      <c r="E32" s="23"/>
      <c r="F32" s="11"/>
      <c r="G32" s="27"/>
      <c r="H32" s="11"/>
      <c r="I32" s="2"/>
      <c r="J32" s="2"/>
    </row>
    <row r="33" spans="1:12" ht="51.75" customHeight="1" x14ac:dyDescent="0.2">
      <c r="A33" s="9"/>
      <c r="B33" s="9"/>
      <c r="C33" s="64" t="s">
        <v>10</v>
      </c>
      <c r="D33" s="64"/>
      <c r="E33" s="64"/>
      <c r="F33" s="64"/>
      <c r="G33" s="64"/>
      <c r="H33" s="64"/>
      <c r="I33" s="2"/>
      <c r="J33" s="2"/>
    </row>
    <row r="34" spans="1:12" ht="15" x14ac:dyDescent="0.2">
      <c r="A34" s="9"/>
      <c r="B34" s="9"/>
      <c r="C34" s="27"/>
      <c r="D34" s="27"/>
      <c r="E34" s="27"/>
      <c r="F34" s="28"/>
      <c r="G34" s="9"/>
      <c r="H34" s="28"/>
      <c r="I34" s="2"/>
      <c r="J34" s="2"/>
    </row>
    <row r="35" spans="1:12" ht="15" x14ac:dyDescent="0.2">
      <c r="A35" s="9"/>
      <c r="B35" s="9"/>
      <c r="C35" s="9"/>
      <c r="D35" s="9"/>
      <c r="E35" s="9"/>
      <c r="F35" s="28"/>
      <c r="G35" s="9"/>
      <c r="H35" s="28"/>
      <c r="I35" s="2"/>
      <c r="J35" s="2"/>
    </row>
    <row r="36" spans="1:12" ht="12.75" customHeight="1" x14ac:dyDescent="0.2">
      <c r="A36" s="9"/>
      <c r="B36" s="29" t="s">
        <v>9</v>
      </c>
      <c r="C36" s="9"/>
      <c r="D36" s="9"/>
      <c r="E36" s="9"/>
      <c r="F36" s="30"/>
      <c r="G36" s="30"/>
      <c r="H36" s="30"/>
      <c r="I36" s="31"/>
      <c r="J36" s="31"/>
    </row>
    <row r="37" spans="1:12" ht="15" x14ac:dyDescent="0.2">
      <c r="A37" s="9"/>
      <c r="B37" s="9"/>
      <c r="C37" s="9"/>
      <c r="D37" s="9"/>
      <c r="E37" s="9"/>
      <c r="F37" s="11"/>
      <c r="G37" s="32"/>
      <c r="H37" s="11"/>
      <c r="I37" s="31"/>
      <c r="J37" s="31"/>
    </row>
    <row r="38" spans="1:12" ht="15" customHeight="1" x14ac:dyDescent="0.2">
      <c r="A38" s="9"/>
      <c r="B38" s="65" t="s">
        <v>8</v>
      </c>
      <c r="C38" s="65"/>
      <c r="D38" s="65"/>
      <c r="E38" s="65"/>
      <c r="F38" s="65"/>
      <c r="G38" s="65"/>
      <c r="H38" s="65"/>
      <c r="I38" s="65"/>
      <c r="J38" s="2"/>
    </row>
    <row r="39" spans="1:12" ht="15" x14ac:dyDescent="0.2">
      <c r="A39" s="9"/>
      <c r="B39" s="32"/>
      <c r="C39" s="32"/>
      <c r="D39" s="32"/>
      <c r="E39" s="32"/>
      <c r="F39" s="2"/>
      <c r="G39" s="2"/>
      <c r="H39" s="28"/>
      <c r="I39" s="2"/>
      <c r="J39" s="2"/>
    </row>
    <row r="40" spans="1:12" ht="20.25" customHeight="1" x14ac:dyDescent="0.25">
      <c r="A40" s="9"/>
      <c r="B40" s="33"/>
      <c r="C40" s="9"/>
      <c r="D40" s="34"/>
      <c r="E40" s="34"/>
      <c r="F40" s="2"/>
      <c r="G40" s="2"/>
      <c r="H40" s="28"/>
      <c r="I40" s="35"/>
      <c r="J40" s="2"/>
      <c r="L40" s="36"/>
    </row>
    <row r="41" spans="1:12" ht="19.5" customHeight="1" x14ac:dyDescent="0.2">
      <c r="A41" s="9"/>
      <c r="B41" s="9"/>
      <c r="C41" s="9"/>
      <c r="D41" s="37" t="s">
        <v>7</v>
      </c>
      <c r="E41" s="37"/>
      <c r="F41" s="38">
        <f>+J30</f>
        <v>400</v>
      </c>
      <c r="G41" s="39" t="s">
        <v>4</v>
      </c>
      <c r="H41" s="28"/>
      <c r="I41" s="35"/>
      <c r="J41" s="2"/>
    </row>
    <row r="42" spans="1:12" ht="18.75" customHeight="1" x14ac:dyDescent="0.2">
      <c r="A42" s="9"/>
      <c r="B42" s="40"/>
      <c r="C42" s="40"/>
      <c r="D42" s="37"/>
      <c r="E42" s="37"/>
      <c r="F42" s="38"/>
      <c r="G42" s="39"/>
      <c r="H42" s="28"/>
      <c r="I42" s="35"/>
      <c r="J42" s="2"/>
    </row>
    <row r="43" spans="1:12" ht="15" x14ac:dyDescent="0.2">
      <c r="A43" s="9"/>
      <c r="B43" s="9"/>
      <c r="C43" s="9"/>
      <c r="D43" s="37" t="s">
        <v>6</v>
      </c>
      <c r="E43" s="37"/>
      <c r="F43" s="38" t="s">
        <v>5</v>
      </c>
      <c r="G43" s="39" t="s">
        <v>4</v>
      </c>
      <c r="H43" s="28"/>
      <c r="I43" s="35"/>
      <c r="J43" s="2"/>
    </row>
    <row r="44" spans="1:12" ht="19.5" customHeight="1" x14ac:dyDescent="0.2">
      <c r="A44" s="9"/>
      <c r="B44" s="9"/>
      <c r="C44" s="9"/>
      <c r="D44" s="37"/>
      <c r="E44" s="37"/>
      <c r="F44" s="38"/>
      <c r="G44" s="39"/>
      <c r="H44" s="28"/>
      <c r="I44" s="35"/>
      <c r="J44" s="2"/>
    </row>
    <row r="45" spans="1:12" ht="21.75" customHeight="1" x14ac:dyDescent="0.2">
      <c r="A45" s="9"/>
      <c r="B45" s="9"/>
      <c r="C45" s="9"/>
      <c r="D45" s="37" t="s">
        <v>3</v>
      </c>
      <c r="E45" s="37"/>
      <c r="F45" s="38">
        <f>F41</f>
        <v>400</v>
      </c>
      <c r="G45" s="39" t="s">
        <v>2</v>
      </c>
      <c r="H45" s="28"/>
      <c r="I45" s="2"/>
      <c r="J45" s="2"/>
    </row>
    <row r="46" spans="1:12" ht="15" x14ac:dyDescent="0.2">
      <c r="A46" s="9"/>
      <c r="B46" s="9"/>
      <c r="C46" s="9"/>
      <c r="D46" s="41"/>
      <c r="E46" s="41"/>
      <c r="F46" s="42"/>
      <c r="G46" s="43"/>
      <c r="H46" s="42"/>
      <c r="I46" s="43"/>
      <c r="J46" s="43"/>
    </row>
    <row r="47" spans="1:12" ht="15" x14ac:dyDescent="0.2">
      <c r="A47" s="9"/>
      <c r="B47" s="9"/>
      <c r="C47" s="9"/>
      <c r="D47" s="9"/>
      <c r="E47" s="9"/>
      <c r="F47" s="44"/>
      <c r="G47" s="45"/>
      <c r="H47" s="44"/>
      <c r="I47" s="45"/>
      <c r="J47" s="45"/>
    </row>
    <row r="48" spans="1:12" s="46" customFormat="1" ht="15" x14ac:dyDescent="0.2">
      <c r="A48" s="43"/>
      <c r="B48" s="43"/>
      <c r="C48" s="43"/>
      <c r="D48" s="43"/>
      <c r="E48" s="43"/>
      <c r="F48" s="42"/>
      <c r="G48" s="42"/>
      <c r="H48" s="42"/>
      <c r="I48" s="42"/>
      <c r="J48" s="42"/>
    </row>
    <row r="49" spans="1:10" s="46" customFormat="1" ht="15.75" x14ac:dyDescent="0.2">
      <c r="A49" s="43"/>
      <c r="B49" s="43"/>
      <c r="C49" s="43"/>
      <c r="D49" s="43"/>
      <c r="E49" s="43"/>
      <c r="F49" s="42"/>
      <c r="G49" s="47"/>
      <c r="H49" s="47"/>
      <c r="I49" s="45"/>
      <c r="J49" s="45"/>
    </row>
    <row r="50" spans="1:10" s="46" customFormat="1" ht="15" x14ac:dyDescent="0.2">
      <c r="A50" s="43"/>
      <c r="B50" s="43"/>
      <c r="C50" s="42"/>
      <c r="D50" s="42"/>
      <c r="E50" s="42"/>
      <c r="F50" s="42"/>
      <c r="G50" s="43"/>
      <c r="H50" s="42"/>
      <c r="I50" s="43"/>
      <c r="J50" s="43"/>
    </row>
    <row r="51" spans="1:10" s="46" customFormat="1" ht="15" x14ac:dyDescent="0.2">
      <c r="A51" s="43"/>
      <c r="B51" s="48" t="s">
        <v>34</v>
      </c>
      <c r="C51" s="45"/>
      <c r="D51" s="45"/>
      <c r="E51" s="45"/>
      <c r="F51" s="42"/>
      <c r="G51" s="43"/>
      <c r="H51" s="42"/>
      <c r="I51" s="43"/>
      <c r="J51" s="43"/>
    </row>
    <row r="52" spans="1:10" s="46" customFormat="1" ht="16.5" customHeight="1" x14ac:dyDescent="0.2">
      <c r="A52" s="43"/>
      <c r="B52" s="43"/>
      <c r="C52" s="43"/>
      <c r="D52" s="43"/>
      <c r="E52" s="43"/>
      <c r="F52" s="49"/>
      <c r="G52" s="49"/>
      <c r="H52" s="49"/>
      <c r="I52" s="49"/>
      <c r="J52" s="49"/>
    </row>
    <row r="53" spans="1:10" s="46" customFormat="1" ht="15" x14ac:dyDescent="0.2">
      <c r="A53" s="43"/>
      <c r="B53" s="43"/>
      <c r="C53" s="43"/>
      <c r="D53" s="43"/>
      <c r="E53" s="43"/>
      <c r="F53" s="42"/>
      <c r="G53" s="43"/>
      <c r="H53" s="42"/>
      <c r="I53" s="43"/>
      <c r="J53" s="43"/>
    </row>
    <row r="54" spans="1:10" s="46" customFormat="1" ht="36" customHeight="1" x14ac:dyDescent="0.2">
      <c r="A54" s="43"/>
      <c r="B54" s="58" t="s">
        <v>25</v>
      </c>
      <c r="C54" s="58"/>
      <c r="D54" s="58"/>
      <c r="E54" s="58"/>
      <c r="F54" s="42"/>
      <c r="G54" s="43"/>
      <c r="H54" s="42"/>
      <c r="I54" s="43"/>
      <c r="J54" s="43"/>
    </row>
    <row r="55" spans="1:10" s="46" customFormat="1" ht="15" x14ac:dyDescent="0.2">
      <c r="A55" s="43"/>
      <c r="B55" s="43"/>
      <c r="C55" s="43"/>
      <c r="D55" s="43"/>
      <c r="E55" s="43"/>
      <c r="F55" s="42"/>
      <c r="G55" s="43"/>
      <c r="H55" s="42"/>
      <c r="I55" s="43"/>
      <c r="J55" s="43"/>
    </row>
    <row r="56" spans="1:10" s="46" customFormat="1" ht="15" x14ac:dyDescent="0.2">
      <c r="A56" s="43"/>
      <c r="B56" s="43"/>
      <c r="C56" s="43"/>
      <c r="D56" s="43"/>
      <c r="E56" s="43"/>
      <c r="F56" s="50"/>
      <c r="G56" s="43"/>
      <c r="H56" s="42"/>
      <c r="I56" s="43"/>
      <c r="J56" s="43"/>
    </row>
    <row r="57" spans="1:10" s="46" customFormat="1" ht="15" x14ac:dyDescent="0.2">
      <c r="A57" s="43"/>
      <c r="B57" s="43"/>
      <c r="C57" s="43"/>
      <c r="D57" s="43"/>
      <c r="E57" s="43"/>
      <c r="F57" s="50"/>
      <c r="G57" s="43"/>
      <c r="H57" s="42"/>
      <c r="I57" s="43"/>
      <c r="J57" s="43"/>
    </row>
    <row r="58" spans="1:10" s="46" customFormat="1" ht="15" x14ac:dyDescent="0.2">
      <c r="A58" s="43"/>
      <c r="B58" s="51" t="s">
        <v>1</v>
      </c>
      <c r="C58" s="50"/>
      <c r="D58" s="50"/>
      <c r="E58" s="50"/>
      <c r="F58" s="50"/>
      <c r="G58" s="43"/>
      <c r="H58" s="42"/>
      <c r="I58" s="43"/>
      <c r="J58" s="43"/>
    </row>
    <row r="59" spans="1:10" s="46" customFormat="1" ht="15" x14ac:dyDescent="0.2">
      <c r="A59" s="43"/>
      <c r="B59" s="50"/>
      <c r="C59" s="52"/>
      <c r="D59" s="52"/>
      <c r="E59" s="52"/>
      <c r="F59" s="53"/>
      <c r="G59" s="2"/>
      <c r="H59" s="4"/>
      <c r="I59" s="2"/>
      <c r="J59" s="2"/>
    </row>
    <row r="60" spans="1:10" s="46" customFormat="1" ht="15" x14ac:dyDescent="0.2">
      <c r="A60" s="43"/>
      <c r="B60" s="51" t="s">
        <v>0</v>
      </c>
      <c r="C60" s="50"/>
      <c r="D60" s="50"/>
      <c r="E60" s="50"/>
      <c r="F60" s="53"/>
      <c r="G60" s="2"/>
      <c r="H60" s="4"/>
      <c r="I60" s="2"/>
      <c r="J60" s="2"/>
    </row>
    <row r="61" spans="1:10" s="46" customFormat="1" ht="15" x14ac:dyDescent="0.2">
      <c r="A61" s="4"/>
      <c r="B61" s="54"/>
      <c r="C61" s="53"/>
      <c r="D61" s="54"/>
      <c r="E61" s="54"/>
      <c r="F61" s="53"/>
      <c r="G61" s="2"/>
      <c r="H61" s="4"/>
      <c r="I61" s="2"/>
      <c r="J61" s="2"/>
    </row>
    <row r="62" spans="1:10" x14ac:dyDescent="0.2">
      <c r="A62" s="4"/>
      <c r="B62" s="54"/>
      <c r="C62" s="53"/>
      <c r="D62" s="54"/>
      <c r="E62" s="54"/>
    </row>
    <row r="63" spans="1:10" x14ac:dyDescent="0.2">
      <c r="A63" s="4"/>
      <c r="B63" s="54"/>
      <c r="C63" s="53"/>
      <c r="D63" s="54"/>
      <c r="E63" s="54"/>
    </row>
  </sheetData>
  <sheetProtection algorithmName="SHA-512" hashValue="pNtC8BlDiRQMMfLtqu2f9LFJYSk/j1eMB5zc8ozW2llPVuUkt9EQ4uXFJ6nWAM+J5JCxkAQRbX4WiFIiFKNuIw==" saltValue="B03dwFO+S94lHqyrX5kvRw==" spinCount="100000" sheet="1" objects="1" scenarios="1"/>
  <mergeCells count="15">
    <mergeCell ref="B54:E54"/>
    <mergeCell ref="B15:J17"/>
    <mergeCell ref="B18:J19"/>
    <mergeCell ref="H25:I25"/>
    <mergeCell ref="F28:I28"/>
    <mergeCell ref="F29:I29"/>
    <mergeCell ref="F30:I30"/>
    <mergeCell ref="C33:H33"/>
    <mergeCell ref="B38:I38"/>
    <mergeCell ref="B6:J6"/>
    <mergeCell ref="E7:G7"/>
    <mergeCell ref="C11:I11"/>
    <mergeCell ref="B10:J10"/>
    <mergeCell ref="C13:I13"/>
    <mergeCell ref="B9:J9"/>
  </mergeCells>
  <pageMargins left="0.19685039370078741" right="0.19685039370078741" top="0.74803149606299213" bottom="0.74803149606299213" header="0.31496062992125984" footer="0.31496062992125984"/>
  <pageSetup paperSize="9" scale="5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8859B0E-00F8-4061-8710-AD82484C8F1A}"/>
</file>

<file path=customXml/itemProps2.xml><?xml version="1.0" encoding="utf-8"?>
<ds:datastoreItem xmlns:ds="http://schemas.openxmlformats.org/officeDocument/2006/customXml" ds:itemID="{5703FA08-A6DD-46D3-8302-1F3DC5E15BB1}"/>
</file>

<file path=customXml/itemProps3.xml><?xml version="1.0" encoding="utf-8"?>
<ds:datastoreItem xmlns:ds="http://schemas.openxmlformats.org/officeDocument/2006/customXml" ds:itemID="{0A4B3E98-D3B7-4E39-B88F-73AE367590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LOTE 2 Anexo II-A</vt:lpstr>
      <vt:lpstr>'LOTE 2 Anexo II-A'!Área_de_impresión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Vanwersch Montero, Maria Soledad</dc:creator>
  <cp:lastModifiedBy>Passarell Fontan, Covadonga</cp:lastModifiedBy>
  <cp:lastPrinted>2022-02-22T16:58:16Z</cp:lastPrinted>
  <dcterms:created xsi:type="dcterms:W3CDTF">2022-02-16T17:09:20Z</dcterms:created>
  <dcterms:modified xsi:type="dcterms:W3CDTF">2023-05-17T08:39:04Z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